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Vargo\Downloads\"/>
    </mc:Choice>
  </mc:AlternateContent>
  <xr:revisionPtr revIDLastSave="0" documentId="8_{09A2B4EB-F893-4F64-8819-429977B4E82E}" xr6:coauthVersionLast="47" xr6:coauthVersionMax="47" xr10:uidLastSave="{00000000-0000-0000-0000-000000000000}"/>
  <bookViews>
    <workbookView xWindow="-22410" yWindow="3330" windowWidth="19815" windowHeight="11145" activeTab="2" xr2:uid="{00000000-000D-0000-FFFF-FFFF00000000}"/>
  </bookViews>
  <sheets>
    <sheet name="📖 Process Guide" sheetId="1" r:id="rId1"/>
    <sheet name="📋 Dashboard" sheetId="2" r:id="rId2"/>
    <sheet name="📊 Takeoff &amp; Quote" sheetId="3" r:id="rId3"/>
    <sheet name="📄 Customer Quote" sheetId="4" r:id="rId4"/>
    <sheet name="🧾 Material Log" sheetId="5" r:id="rId5"/>
    <sheet name="⏱️ Labour &amp; Machine Log" sheetId="6" r:id="rId6"/>
    <sheet name="🔄 Reconcile P&amp;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7" l="1"/>
  <c r="E31" i="7" s="1"/>
  <c r="C31" i="7"/>
  <c r="C33" i="7" s="1"/>
  <c r="F25" i="7"/>
  <c r="D25" i="7"/>
  <c r="E25" i="7" s="1"/>
  <c r="C25" i="7"/>
  <c r="D23" i="7"/>
  <c r="D27" i="7" s="1"/>
  <c r="G8" i="7" s="1"/>
  <c r="H13" i="2" s="1"/>
  <c r="F19" i="7"/>
  <c r="E19" i="7"/>
  <c r="F18" i="7"/>
  <c r="E18" i="7"/>
  <c r="F17" i="7"/>
  <c r="E17" i="7"/>
  <c r="F12" i="7"/>
  <c r="E12" i="7"/>
  <c r="F11" i="7"/>
  <c r="E11" i="7"/>
  <c r="F9" i="7"/>
  <c r="C9" i="7"/>
  <c r="E9" i="7" s="1"/>
  <c r="F8" i="7"/>
  <c r="C8" i="7"/>
  <c r="E8" i="7" s="1"/>
  <c r="D7" i="7"/>
  <c r="G5" i="7"/>
  <c r="F33" i="6"/>
  <c r="D33" i="6"/>
  <c r="J32" i="6"/>
  <c r="I32" i="6"/>
  <c r="H32" i="6"/>
  <c r="E32" i="6"/>
  <c r="L31" i="6"/>
  <c r="J31" i="6"/>
  <c r="I31" i="6"/>
  <c r="G31" i="6"/>
  <c r="L30" i="6"/>
  <c r="J30" i="6"/>
  <c r="I30" i="6"/>
  <c r="G30" i="6"/>
  <c r="L29" i="6"/>
  <c r="J29" i="6"/>
  <c r="I29" i="6"/>
  <c r="G29" i="6"/>
  <c r="L28" i="6"/>
  <c r="J28" i="6"/>
  <c r="I28" i="6"/>
  <c r="G28" i="6"/>
  <c r="L27" i="6"/>
  <c r="J27" i="6"/>
  <c r="I27" i="6"/>
  <c r="G27" i="6"/>
  <c r="L26" i="6"/>
  <c r="J26" i="6"/>
  <c r="I26" i="6"/>
  <c r="G26" i="6"/>
  <c r="L25" i="6"/>
  <c r="J25" i="6"/>
  <c r="I25" i="6"/>
  <c r="G25" i="6"/>
  <c r="L24" i="6"/>
  <c r="J24" i="6"/>
  <c r="I24" i="6"/>
  <c r="G24" i="6"/>
  <c r="L23" i="6"/>
  <c r="J23" i="6"/>
  <c r="I23" i="6"/>
  <c r="G23" i="6"/>
  <c r="L22" i="6"/>
  <c r="J22" i="6"/>
  <c r="I22" i="6"/>
  <c r="G22" i="6"/>
  <c r="L21" i="6"/>
  <c r="J21" i="6"/>
  <c r="I21" i="6"/>
  <c r="G21" i="6"/>
  <c r="L20" i="6"/>
  <c r="J20" i="6"/>
  <c r="I20" i="6"/>
  <c r="G20" i="6"/>
  <c r="L19" i="6"/>
  <c r="J19" i="6"/>
  <c r="I19" i="6"/>
  <c r="G19" i="6"/>
  <c r="L18" i="6"/>
  <c r="J18" i="6"/>
  <c r="I18" i="6"/>
  <c r="G18" i="6"/>
  <c r="L17" i="6"/>
  <c r="J17" i="6"/>
  <c r="I17" i="6"/>
  <c r="G17" i="6"/>
  <c r="L16" i="6"/>
  <c r="J16" i="6"/>
  <c r="I16" i="6"/>
  <c r="G16" i="6"/>
  <c r="L15" i="6"/>
  <c r="J15" i="6"/>
  <c r="I15" i="6"/>
  <c r="G15" i="6"/>
  <c r="L14" i="6"/>
  <c r="J14" i="6"/>
  <c r="I14" i="6"/>
  <c r="G14" i="6"/>
  <c r="L13" i="6"/>
  <c r="J13" i="6"/>
  <c r="I13" i="6"/>
  <c r="G13" i="6"/>
  <c r="L12" i="6"/>
  <c r="J12" i="6"/>
  <c r="I12" i="6"/>
  <c r="G12" i="6"/>
  <c r="L11" i="6"/>
  <c r="J11" i="6"/>
  <c r="I11" i="6"/>
  <c r="G11" i="6"/>
  <c r="L10" i="6"/>
  <c r="J10" i="6"/>
  <c r="I10" i="6"/>
  <c r="G10" i="6"/>
  <c r="L9" i="6"/>
  <c r="J9" i="6"/>
  <c r="I9" i="6"/>
  <c r="G9" i="6"/>
  <c r="L8" i="6"/>
  <c r="J8" i="6"/>
  <c r="I8" i="6"/>
  <c r="G8" i="6"/>
  <c r="L7" i="6"/>
  <c r="J7" i="6"/>
  <c r="I7" i="6"/>
  <c r="G7" i="6"/>
  <c r="L6" i="6"/>
  <c r="J6" i="6"/>
  <c r="I6" i="6"/>
  <c r="G6" i="6"/>
  <c r="L5" i="6"/>
  <c r="J5" i="6"/>
  <c r="I5" i="6"/>
  <c r="G5" i="6"/>
  <c r="L4" i="6"/>
  <c r="J4" i="6"/>
  <c r="I4" i="6"/>
  <c r="I33" i="6" s="1"/>
  <c r="G4" i="6"/>
  <c r="L3" i="6"/>
  <c r="D33" i="7" s="1"/>
  <c r="J3" i="6"/>
  <c r="D9" i="7" s="1"/>
  <c r="I3" i="6"/>
  <c r="G3" i="6"/>
  <c r="G32" i="6" s="1"/>
  <c r="G33" i="5"/>
  <c r="I32" i="5"/>
  <c r="G32" i="5"/>
  <c r="I31" i="5"/>
  <c r="G31" i="5"/>
  <c r="I30" i="5"/>
  <c r="G30" i="5"/>
  <c r="I29" i="5"/>
  <c r="G29" i="5"/>
  <c r="I28" i="5"/>
  <c r="G28" i="5"/>
  <c r="I27" i="5"/>
  <c r="G27" i="5"/>
  <c r="I26" i="5"/>
  <c r="G26" i="5"/>
  <c r="I25" i="5"/>
  <c r="G25" i="5"/>
  <c r="I24" i="5"/>
  <c r="G24" i="5"/>
  <c r="I23" i="5"/>
  <c r="G23" i="5"/>
  <c r="I22" i="5"/>
  <c r="G22" i="5"/>
  <c r="I21" i="5"/>
  <c r="G21" i="5"/>
  <c r="I20" i="5"/>
  <c r="G20" i="5"/>
  <c r="I19" i="5"/>
  <c r="G19" i="5"/>
  <c r="I18" i="5"/>
  <c r="G18" i="5"/>
  <c r="I17" i="5"/>
  <c r="G17" i="5"/>
  <c r="I16" i="5"/>
  <c r="G16" i="5"/>
  <c r="I15" i="5"/>
  <c r="G15" i="5"/>
  <c r="I14" i="5"/>
  <c r="G14" i="5"/>
  <c r="I13" i="5"/>
  <c r="G13" i="5"/>
  <c r="I12" i="5"/>
  <c r="G12" i="5"/>
  <c r="I11" i="5"/>
  <c r="G11" i="5"/>
  <c r="I10" i="5"/>
  <c r="G10" i="5"/>
  <c r="I9" i="5"/>
  <c r="G9" i="5"/>
  <c r="I8" i="5"/>
  <c r="G8" i="5"/>
  <c r="I7" i="5"/>
  <c r="G7" i="5"/>
  <c r="I6" i="5"/>
  <c r="G6" i="5"/>
  <c r="I5" i="5"/>
  <c r="G5" i="5"/>
  <c r="I4" i="5"/>
  <c r="G4" i="5"/>
  <c r="I3" i="5"/>
  <c r="G3" i="5"/>
  <c r="E34" i="4"/>
  <c r="E35" i="4" s="1"/>
  <c r="E36" i="4" s="1"/>
  <c r="B10" i="4"/>
  <c r="E8" i="4"/>
  <c r="C8" i="4"/>
  <c r="C7" i="4"/>
  <c r="E6" i="4"/>
  <c r="C6" i="4"/>
  <c r="E5" i="4"/>
  <c r="C5" i="4"/>
  <c r="K61" i="3"/>
  <c r="I61" i="3"/>
  <c r="G61" i="3"/>
  <c r="O61" i="3" s="1"/>
  <c r="K60" i="3"/>
  <c r="I60" i="3"/>
  <c r="G60" i="3"/>
  <c r="O60" i="3" s="1"/>
  <c r="K59" i="3"/>
  <c r="I59" i="3"/>
  <c r="G59" i="3"/>
  <c r="O59" i="3" s="1"/>
  <c r="K58" i="3"/>
  <c r="I58" i="3"/>
  <c r="G58" i="3"/>
  <c r="O58" i="3" s="1"/>
  <c r="K57" i="3"/>
  <c r="I57" i="3"/>
  <c r="G57" i="3"/>
  <c r="O57" i="3" s="1"/>
  <c r="K56" i="3"/>
  <c r="I56" i="3"/>
  <c r="G56" i="3"/>
  <c r="O56" i="3" s="1"/>
  <c r="N52" i="3"/>
  <c r="M52" i="3"/>
  <c r="K52" i="3"/>
  <c r="I52" i="3"/>
  <c r="G52" i="3"/>
  <c r="O52" i="3" s="1"/>
  <c r="N51" i="3"/>
  <c r="K51" i="3"/>
  <c r="I51" i="3"/>
  <c r="M51" i="3" s="1"/>
  <c r="G51" i="3"/>
  <c r="O51" i="3" s="1"/>
  <c r="N50" i="3"/>
  <c r="M50" i="3"/>
  <c r="K50" i="3"/>
  <c r="I50" i="3"/>
  <c r="G50" i="3"/>
  <c r="O50" i="3" s="1"/>
  <c r="N49" i="3"/>
  <c r="K49" i="3"/>
  <c r="I49" i="3"/>
  <c r="M49" i="3" s="1"/>
  <c r="G49" i="3"/>
  <c r="O49" i="3" s="1"/>
  <c r="O53" i="3" s="1"/>
  <c r="O45" i="3"/>
  <c r="N45" i="3"/>
  <c r="K45" i="3"/>
  <c r="I45" i="3"/>
  <c r="G45" i="3"/>
  <c r="M45" i="3" s="1"/>
  <c r="N44" i="3"/>
  <c r="K44" i="3"/>
  <c r="I44" i="3"/>
  <c r="G44" i="3"/>
  <c r="O44" i="3" s="1"/>
  <c r="O43" i="3"/>
  <c r="N43" i="3"/>
  <c r="K43" i="3"/>
  <c r="I43" i="3"/>
  <c r="G43" i="3"/>
  <c r="M43" i="3" s="1"/>
  <c r="N42" i="3"/>
  <c r="K42" i="3"/>
  <c r="I42" i="3"/>
  <c r="G42" i="3"/>
  <c r="O42" i="3" s="1"/>
  <c r="O41" i="3"/>
  <c r="N41" i="3"/>
  <c r="K41" i="3"/>
  <c r="I41" i="3"/>
  <c r="G41" i="3"/>
  <c r="M41" i="3" s="1"/>
  <c r="K37" i="3"/>
  <c r="I37" i="3"/>
  <c r="G37" i="3"/>
  <c r="O37" i="3" s="1"/>
  <c r="K36" i="3"/>
  <c r="I36" i="3"/>
  <c r="G36" i="3"/>
  <c r="O36" i="3" s="1"/>
  <c r="K35" i="3"/>
  <c r="I35" i="3"/>
  <c r="G35" i="3"/>
  <c r="O35" i="3" s="1"/>
  <c r="K34" i="3"/>
  <c r="I34" i="3"/>
  <c r="G34" i="3"/>
  <c r="O34" i="3" s="1"/>
  <c r="K33" i="3"/>
  <c r="I33" i="3"/>
  <c r="G33" i="3"/>
  <c r="O33" i="3" s="1"/>
  <c r="K32" i="3"/>
  <c r="I32" i="3"/>
  <c r="G32" i="3"/>
  <c r="O32" i="3" s="1"/>
  <c r="N28" i="3"/>
  <c r="M28" i="3"/>
  <c r="K28" i="3"/>
  <c r="I28" i="3"/>
  <c r="G28" i="3"/>
  <c r="O28" i="3" s="1"/>
  <c r="N27" i="3"/>
  <c r="K27" i="3"/>
  <c r="I27" i="3"/>
  <c r="M27" i="3" s="1"/>
  <c r="G27" i="3"/>
  <c r="O27" i="3" s="1"/>
  <c r="N26" i="3"/>
  <c r="M26" i="3"/>
  <c r="K26" i="3"/>
  <c r="I26" i="3"/>
  <c r="G26" i="3"/>
  <c r="O26" i="3" s="1"/>
  <c r="N25" i="3"/>
  <c r="K25" i="3"/>
  <c r="I25" i="3"/>
  <c r="M25" i="3" s="1"/>
  <c r="G25" i="3"/>
  <c r="O25" i="3" s="1"/>
  <c r="O21" i="3"/>
  <c r="N21" i="3"/>
  <c r="K21" i="3"/>
  <c r="I21" i="3"/>
  <c r="G21" i="3"/>
  <c r="M21" i="3" s="1"/>
  <c r="N20" i="3"/>
  <c r="K20" i="3"/>
  <c r="I20" i="3"/>
  <c r="G20" i="3"/>
  <c r="O20" i="3" s="1"/>
  <c r="O19" i="3"/>
  <c r="N19" i="3"/>
  <c r="K19" i="3"/>
  <c r="I19" i="3"/>
  <c r="G19" i="3"/>
  <c r="M19" i="3" s="1"/>
  <c r="N18" i="3"/>
  <c r="K18" i="3"/>
  <c r="I18" i="3"/>
  <c r="G18" i="3"/>
  <c r="O18" i="3" s="1"/>
  <c r="K14" i="3"/>
  <c r="I14" i="3"/>
  <c r="G14" i="3"/>
  <c r="O14" i="3" s="1"/>
  <c r="K13" i="3"/>
  <c r="I13" i="3"/>
  <c r="G13" i="3"/>
  <c r="O13" i="3" s="1"/>
  <c r="K12" i="3"/>
  <c r="I12" i="3"/>
  <c r="G12" i="3"/>
  <c r="O12" i="3" s="1"/>
  <c r="K11" i="3"/>
  <c r="I11" i="3"/>
  <c r="G11" i="3"/>
  <c r="C7" i="7" s="1"/>
  <c r="H10" i="2"/>
  <c r="E33" i="7" l="1"/>
  <c r="O29" i="3"/>
  <c r="M53" i="3"/>
  <c r="G33" i="6"/>
  <c r="M29" i="3"/>
  <c r="O46" i="3"/>
  <c r="O62" i="3"/>
  <c r="E7" i="7"/>
  <c r="F7" i="7"/>
  <c r="O22" i="3"/>
  <c r="O38" i="3"/>
  <c r="M11" i="3"/>
  <c r="M13" i="3"/>
  <c r="M33" i="3"/>
  <c r="M35" i="3"/>
  <c r="M37" i="3"/>
  <c r="M57" i="3"/>
  <c r="M59" i="3"/>
  <c r="M61" i="3"/>
  <c r="L32" i="6"/>
  <c r="N11" i="3"/>
  <c r="N13" i="3"/>
  <c r="N33" i="3"/>
  <c r="N35" i="3"/>
  <c r="N37" i="3"/>
  <c r="N57" i="3"/>
  <c r="N59" i="3"/>
  <c r="N61" i="3"/>
  <c r="C32" i="7"/>
  <c r="C34" i="7" s="1"/>
  <c r="O11" i="3"/>
  <c r="O15" i="3" s="1"/>
  <c r="M18" i="3"/>
  <c r="M20" i="3"/>
  <c r="M42" i="3"/>
  <c r="M46" i="3" s="1"/>
  <c r="M44" i="3"/>
  <c r="D32" i="7"/>
  <c r="E32" i="7" s="1"/>
  <c r="D8" i="7"/>
  <c r="D13" i="7" s="1"/>
  <c r="M12" i="3"/>
  <c r="M14" i="3"/>
  <c r="M32" i="3"/>
  <c r="M34" i="3"/>
  <c r="M36" i="3"/>
  <c r="M56" i="3"/>
  <c r="M58" i="3"/>
  <c r="M60" i="3"/>
  <c r="N12" i="3"/>
  <c r="N34" i="3"/>
  <c r="N36" i="3"/>
  <c r="N14" i="3"/>
  <c r="N32" i="3"/>
  <c r="N56" i="3"/>
  <c r="N58" i="3"/>
  <c r="N60" i="3"/>
  <c r="D24" i="7" l="1"/>
  <c r="G6" i="7"/>
  <c r="H11" i="2" s="1"/>
  <c r="M22" i="3"/>
  <c r="Q66" i="3"/>
  <c r="M38" i="3"/>
  <c r="M15" i="3"/>
  <c r="Q65" i="3" s="1"/>
  <c r="M62" i="3"/>
  <c r="C10" i="7" s="1"/>
  <c r="D34" i="7"/>
  <c r="E34" i="7" s="1"/>
  <c r="Q8" i="3" l="1"/>
  <c r="R8" i="3"/>
  <c r="F10" i="7"/>
  <c r="E10" i="7"/>
  <c r="C13" i="7"/>
  <c r="R7" i="3"/>
  <c r="Q7" i="3"/>
  <c r="D26" i="7"/>
  <c r="G7" i="7" l="1"/>
  <c r="H12" i="2" s="1"/>
  <c r="Q70" i="3"/>
  <c r="R10" i="3" s="1"/>
  <c r="Q69" i="3"/>
  <c r="R9" i="3" s="1"/>
  <c r="Q10" i="3"/>
  <c r="Q9" i="3"/>
  <c r="H6" i="2" s="1"/>
  <c r="H4" i="2"/>
  <c r="C4" i="7"/>
  <c r="F13" i="7"/>
  <c r="C24" i="7"/>
  <c r="E13" i="7"/>
  <c r="Q68" i="3"/>
  <c r="H5" i="2"/>
  <c r="F24" i="7" l="1"/>
  <c r="E24" i="7"/>
  <c r="E4" i="7"/>
  <c r="C23" i="7"/>
  <c r="H7" i="2"/>
  <c r="Q71" i="3"/>
  <c r="C27" i="7" l="1"/>
  <c r="F23" i="7"/>
  <c r="C26" i="7"/>
  <c r="E23" i="7"/>
  <c r="F26" i="7" l="1"/>
  <c r="E26" i="7"/>
</calcChain>
</file>

<file path=xl/sharedStrings.xml><?xml version="1.0" encoding="utf-8"?>
<sst xmlns="http://schemas.openxmlformats.org/spreadsheetml/2006/main" count="331" uniqueCount="305">
  <si>
    <t>📖  BUGABOO LANDSCAPING LTD  —  CONSTRUCTION PROCESS GUIDE (SOP)</t>
  </si>
  <si>
    <t>🟢 PHASE 1: ONBOARDING</t>
  </si>
  <si>
    <t>1</t>
  </si>
  <si>
    <t>Send pre-construction consult email to prospect</t>
  </si>
  <si>
    <t>Use email template to gather: scope, budget range, timeline, site photos</t>
  </si>
  <si>
    <t>2</t>
  </si>
  <si>
    <t>Enter client details in system &amp; assign Operator (OO)</t>
  </si>
  <si>
    <t>Dashboard sheet → Project Status = 'Lead'</t>
  </si>
  <si>
    <t>3</t>
  </si>
  <si>
    <t>Schedule initial consultation meeting</t>
  </si>
  <si>
    <t>All divisions (irrigation, treecare) should coordinate if multi-scope</t>
  </si>
  <si>
    <t>🟡 PHASE 2: QUOTING &amp; DESIGN</t>
  </si>
  <si>
    <t>4</t>
  </si>
  <si>
    <t>OO meets client — capture vision, take measurements</t>
  </si>
  <si>
    <t>Bring measuring tape, camera, site sketch pad</t>
  </si>
  <si>
    <t>5</t>
  </si>
  <si>
    <t>Complete TAKEOFF SHEET (📊 Takeoff &amp; Quote tab)</t>
  </si>
  <si>
    <t>Fill in all quantities, material costs, labour &amp; machine hours, mobilization</t>
  </si>
  <si>
    <t>6</t>
  </si>
  <si>
    <t>Review quote internally before sending</t>
  </si>
  <si>
    <t>Check: margin ≥ 35%, all sections filled, notes added</t>
  </si>
  <si>
    <t>7</t>
  </si>
  <si>
    <t>Generate Customer Quote (📄 Customer Quote tab)</t>
  </si>
  <si>
    <t>Transfer line items; review for client-friendly language</t>
  </si>
  <si>
    <t>8</t>
  </si>
  <si>
    <t>Send quote — follow up within 3 business days</t>
  </si>
  <si>
    <t>Update Dashboard → Status = 'Quoted'</t>
  </si>
  <si>
    <t>9</t>
  </si>
  <si>
    <t>Obtain signed acceptance + 50% deposit</t>
  </si>
  <si>
    <t>Update Dashboard → Status = 'Deposit Received'</t>
  </si>
  <si>
    <t>🔵 PHASE 3: PRE-CONSTRUCTION (1–4 weeks)</t>
  </si>
  <si>
    <t>10</t>
  </si>
  <si>
    <t>Apply for permits; order locates</t>
  </si>
  <si>
    <t>Update Dashboard timeline — Est. Start date for each phase</t>
  </si>
  <si>
    <t>11</t>
  </si>
  <si>
    <t>Order materials with lead-time in mind</t>
  </si>
  <si>
    <t>Log in 🧾 Material Log tab — match to takeoff budget</t>
  </si>
  <si>
    <t>12</t>
  </si>
  <si>
    <t>Confirm OO schedule and project start date</t>
  </si>
  <si>
    <t>Notify client of start date + any factors that may affect timeline</t>
  </si>
  <si>
    <t>🟠 PHASE 4: CONSTRUCTION</t>
  </si>
  <si>
    <t>13</t>
  </si>
  <si>
    <t>Demolition (1–2 days)</t>
  </si>
  <si>
    <t>Log labour hours daily in ⏱️ Labour &amp; Machine Log</t>
  </si>
  <si>
    <t>14</t>
  </si>
  <si>
    <t>Grading &amp; Drainage (1–2 days)</t>
  </si>
  <si>
    <t>Record dump loads, fuel costs in Material Log (category: Mobilization)</t>
  </si>
  <si>
    <t>15</t>
  </si>
  <si>
    <t>Irrigation install (1–2 days)</t>
  </si>
  <si>
    <t>Cross-check against takeoff hours — flag overages immediately</t>
  </si>
  <si>
    <t>16</t>
  </si>
  <si>
    <t>Hardscape install (variable)</t>
  </si>
  <si>
    <t>Photo-document each phase for warranty &amp; customer completion package</t>
  </si>
  <si>
    <t>17</t>
  </si>
  <si>
    <t>Planting / Sod (1–2 days)</t>
  </si>
  <si>
    <t>Confirm soil, sod, plant quantities match material log</t>
  </si>
  <si>
    <t>18</t>
  </si>
  <si>
    <t>Final touches / cleanup (1–2 days)</t>
  </si>
  <si>
    <t>Site photos — before and after required</t>
  </si>
  <si>
    <t>🔴 PHASE 5: PROJECT COMPLETION</t>
  </si>
  <si>
    <t>19</t>
  </si>
  <si>
    <t>Final walkthrough with client — punchlist</t>
  </si>
  <si>
    <t>Address all issues before final invoice</t>
  </si>
  <si>
    <t>20</t>
  </si>
  <si>
    <t>Prepare completion package</t>
  </si>
  <si>
    <t>Before/after photos, watering instructions, warranty document, care guide</t>
  </si>
  <si>
    <t>21</t>
  </si>
  <si>
    <t>Send final invoice (remaining 50%)</t>
  </si>
  <si>
    <t>Update Dashboard → Status = 'Punch List' → 'Complete'</t>
  </si>
  <si>
    <t>22</t>
  </si>
  <si>
    <t>Collect Google/Facebook review</t>
  </si>
  <si>
    <t>Send review link immediately after completion call</t>
  </si>
  <si>
    <t>🟣 PHASE 6: RECONCILIATION</t>
  </si>
  <si>
    <t>23</t>
  </si>
  <si>
    <t>Reconcile all material receipts vs. takeoff budget</t>
  </si>
  <si>
    <t>🧾 Material Log — ensure every receipt is logged</t>
  </si>
  <si>
    <t>24</t>
  </si>
  <si>
    <t>Reconcile all labour &amp; machine hours vs. estimate</t>
  </si>
  <si>
    <t>⏱️ Labour &amp; Machine Log — total vs. takeoff hours</t>
  </si>
  <si>
    <t>25</t>
  </si>
  <si>
    <t>Complete Project P&amp;L (🔄 Reconcile P&amp;L tab)</t>
  </si>
  <si>
    <t>Enter actual invoiced revenue; review variances</t>
  </si>
  <si>
    <t>26</t>
  </si>
  <si>
    <t>Document lessons learned</t>
  </si>
  <si>
    <t>Note: any items consistently over/under budget for future estimating accuracy</t>
  </si>
  <si>
    <t>27</t>
  </si>
  <si>
    <t>Archive project &amp; close in system</t>
  </si>
  <si>
    <t>Change Dashboard → Status = 'Complete'</t>
  </si>
  <si>
    <t>🌿  BUGABOO LANDSCAPING LTD  —  PROJECT MANAGEMENT SYSTEM</t>
  </si>
  <si>
    <t>Project Name:</t>
  </si>
  <si>
    <t>FINANCIAL SUMMARY</t>
  </si>
  <si>
    <t>Project Address:</t>
  </si>
  <si>
    <t>Quote / Contract Value</t>
  </si>
  <si>
    <t>Client Name:</t>
  </si>
  <si>
    <t>Total Est. Direct Cost</t>
  </si>
  <si>
    <t>Client Phone:</t>
  </si>
  <si>
    <t>Gross Profit $</t>
  </si>
  <si>
    <t>Client Email:</t>
  </si>
  <si>
    <t>Gross Margin %</t>
  </si>
  <si>
    <t>Operator (OO):</t>
  </si>
  <si>
    <t>OO Phone:</t>
  </si>
  <si>
    <t>ACTUAL (Reconciled)</t>
  </si>
  <si>
    <t>Project Start:</t>
  </si>
  <si>
    <t>Actual Revenue</t>
  </si>
  <si>
    <t>Est. Completion:</t>
  </si>
  <si>
    <t>Actual Total Cost</t>
  </si>
  <si>
    <t>Project Status:</t>
  </si>
  <si>
    <t>Actual Gross Profit</t>
  </si>
  <si>
    <t>Actual Margin %</t>
  </si>
  <si>
    <t>PROJECT TIMELINE &amp; MILESTONES</t>
  </si>
  <si>
    <t>Phase</t>
  </si>
  <si>
    <t>Description</t>
  </si>
  <si>
    <t>Est. Start</t>
  </si>
  <si>
    <t>Est. End</t>
  </si>
  <si>
    <t>Actual Start</t>
  </si>
  <si>
    <t>Actual End</t>
  </si>
  <si>
    <t>Status</t>
  </si>
  <si>
    <t>Permitting / Locates</t>
  </si>
  <si>
    <t>Demolition</t>
  </si>
  <si>
    <t>Grading &amp; Drainage</t>
  </si>
  <si>
    <t>Irrigation</t>
  </si>
  <si>
    <t>Hardscape</t>
  </si>
  <si>
    <t>Planting</t>
  </si>
  <si>
    <t>Final Touches / Cleanup</t>
  </si>
  <si>
    <t>PROJECT NOTES &amp; COMMUNICATION LOG</t>
  </si>
  <si>
    <t>Note 1:</t>
  </si>
  <si>
    <t>Note 2:</t>
  </si>
  <si>
    <t>Note 3:</t>
  </si>
  <si>
    <t>Note 4:</t>
  </si>
  <si>
    <t>Note 5:</t>
  </si>
  <si>
    <t>Note 6:</t>
  </si>
  <si>
    <t>🌿  BUGABOO LANDSCAPING LTD  —  PROJECT TAKEOFF &amp; QUOTE</t>
  </si>
  <si>
    <t>Address:</t>
  </si>
  <si>
    <t>Phone:</t>
  </si>
  <si>
    <t>Quote Date:</t>
  </si>
  <si>
    <t>Email:</t>
  </si>
  <si>
    <t>Quote #:</t>
  </si>
  <si>
    <t>Project Description:</t>
  </si>
  <si>
    <t>PRICING ASSUMPTIONS  |  Blue = Input  |  E8 = Internal Labour Cost ($30)  |  P8 = Client Bill Rate ($90 - trucks/trailers/WCB/insurance/overhead)</t>
  </si>
  <si>
    <t>Material Markup %</t>
  </si>
  <si>
    <t>Internal Labour ($/hr)</t>
  </si>
  <si>
    <t>Machine Rate ($/hr)</t>
  </si>
  <si>
    <t>Fuel Cost/Load</t>
  </si>
  <si>
    <t>Dump Fee/Load</t>
  </si>
  <si>
    <t>Delivery Fee</t>
  </si>
  <si>
    <t>Desired Margin %</t>
  </si>
  <si>
    <t>#</t>
  </si>
  <si>
    <t>Scope / Line Item</t>
  </si>
  <si>
    <t>Unit</t>
  </si>
  <si>
    <t>Qty</t>
  </si>
  <si>
    <t>Material
Cost/Unit</t>
  </si>
  <si>
    <t>Total
Material</t>
  </si>
  <si>
    <t>Labour
Hours</t>
  </si>
  <si>
    <t>Labour
Cost
(Internal)</t>
  </si>
  <si>
    <t>Machine
Hours</t>
  </si>
  <si>
    <t>Machine
Cost</t>
  </si>
  <si>
    <t>Mobiliz.
&amp; Other</t>
  </si>
  <si>
    <t>LINE TOTAL
(Cost)</t>
  </si>
  <si>
    <t>Markup
Added</t>
  </si>
  <si>
    <t>Quoted
Line Price</t>
  </si>
  <si>
    <t>Notes</t>
  </si>
  <si>
    <t>🔨 DEMOLITION &amp; REMOVAL</t>
  </si>
  <si>
    <t>Remove &amp; dispose existing soil</t>
  </si>
  <si>
    <t>Remove &amp; dispose boulders / rocks</t>
  </si>
  <si>
    <t>Remove existing hardscape</t>
  </si>
  <si>
    <t>Haul-away / dump loads</t>
  </si>
  <si>
    <t xml:space="preserve">  Subtotal — 🔨 DEMOLITION &amp; REMOVAL</t>
  </si>
  <si>
    <t>🏔️ GRADING &amp; DRAINAGE</t>
  </si>
  <si>
    <t xml:space="preserve">Spread, grade &amp; compact </t>
  </si>
  <si>
    <t>Fine grading</t>
  </si>
  <si>
    <t>Drainage swale / French drain</t>
  </si>
  <si>
    <t>Topsoil supply &amp; spread</t>
  </si>
  <si>
    <t xml:space="preserve">  Subtotal — 🏔️ GRADING &amp; DRAINAGE</t>
  </si>
  <si>
    <t>💧 IRRIGATION</t>
  </si>
  <si>
    <t>Irrigation design &amp; permits</t>
  </si>
  <si>
    <t>Main line &amp; lateral trenching</t>
  </si>
  <si>
    <t>Heads, valves &amp; controller</t>
  </si>
  <si>
    <t>Startup &amp; testing</t>
  </si>
  <si>
    <t xml:space="preserve">  Subtotal — 💧 IRRIGATION</t>
  </si>
  <si>
    <t>🧱 HARDSCAPE</t>
  </si>
  <si>
    <t>Patio – excavation &amp; base</t>
  </si>
  <si>
    <t>Patio – stone / pavers supply &amp; lay</t>
  </si>
  <si>
    <t>Retaining wall – excavation &amp; base</t>
  </si>
  <si>
    <t>Retaining wall – block supply &amp; build</t>
  </si>
  <si>
    <t>Walkway / steps</t>
  </si>
  <si>
    <t>Edging</t>
  </si>
  <si>
    <t xml:space="preserve">  Subtotal — 🧱 HARDSCAPE</t>
  </si>
  <si>
    <t>🌱 SOFTSCAPE &amp; PLANTING</t>
  </si>
  <si>
    <t>Sod – supply &amp; install</t>
  </si>
  <si>
    <t>Loam / premium soil supply</t>
  </si>
  <si>
    <t>Shrubs &amp; perennials – supply &amp; plant</t>
  </si>
  <si>
    <t>Landscape fabric supply &amp; install (weed suppression)</t>
  </si>
  <si>
    <t>Seed &amp; starter fertilizer</t>
  </si>
  <si>
    <t xml:space="preserve">  Subtotal — 🌱 SOFTSCAPE &amp; PLANTING</t>
  </si>
  <si>
    <t>🪵 STRUCTURES</t>
  </si>
  <si>
    <t>Fence / gate supply &amp; install</t>
  </si>
  <si>
    <t>Deck / pergola / arbor build</t>
  </si>
  <si>
    <t>Planter boxes build</t>
  </si>
  <si>
    <t>Privacy screen</t>
  </si>
  <si>
    <t xml:space="preserve">  Subtotal — 🪵 STRUCTURES</t>
  </si>
  <si>
    <t>🚛 MOBILIZATION &amp; OVERHEAD</t>
  </si>
  <si>
    <t>Equipment mobilization</t>
  </si>
  <si>
    <t>Fuel – project total</t>
  </si>
  <si>
    <t>Dump fees – total</t>
  </si>
  <si>
    <t>Material delivery fees</t>
  </si>
  <si>
    <t>Permits &amp; locates</t>
  </si>
  <si>
    <t>Contingency / misc</t>
  </si>
  <si>
    <t xml:space="preserve">  Subtotal — 🚛 MOBILIZATION &amp; OVERHEAD</t>
  </si>
  <si>
    <t>TOTAL ESTIMATED DIRECT COST</t>
  </si>
  <si>
    <t>TOTAL QUOTED PRICE (incl. markup)</t>
  </si>
  <si>
    <t>Desired Margin Check – Target Revenue</t>
  </si>
  <si>
    <t>Gross Profit ($)</t>
  </si>
  <si>
    <t>Margin vs. Target</t>
  </si>
  <si>
    <t>🔵 Blue cells = Enter your values   |   ⚫ Black cells = Auto-calculated   |   🟡 Yellow = Input fields</t>
  </si>
  <si>
    <t>BUGABOO LANDSCAPING LTD</t>
  </si>
  <si>
    <t>📞 403-283-7843   |   ✉️  Support@bugaboolandscaping.com   |   🌐 www.bugaboolandscaping.com</t>
  </si>
  <si>
    <t>PREPARED FOR:</t>
  </si>
  <si>
    <t>QUOTE DETAILS</t>
  </si>
  <si>
    <t>Date:</t>
  </si>
  <si>
    <t>Valid Until:</t>
  </si>
  <si>
    <t>Operator:</t>
  </si>
  <si>
    <t>PROJECT DESCRIPTION</t>
  </si>
  <si>
    <t>SCOPE OF WORK</t>
  </si>
  <si>
    <t>UNIT</t>
  </si>
  <si>
    <t>QTY</t>
  </si>
  <si>
    <t>PRICE</t>
  </si>
  <si>
    <t>Subtotal</t>
  </si>
  <si>
    <t>GST (5%)</t>
  </si>
  <si>
    <t>TOTAL</t>
  </si>
  <si>
    <t>⚠️  A 50% deposit is required to secure your project start date.</t>
  </si>
  <si>
    <t>Note: This estimate is valid for 30 days. Final costs may vary due to unforeseen site conditions.</t>
  </si>
  <si>
    <t>WARRANTY SUMMARY</t>
  </si>
  <si>
    <t>✔  General Workmanship: 2 years</t>
  </si>
  <si>
    <t>✔  Stone Patios &amp; Retaining Walls: 2 years against major shifting/settling</t>
  </si>
  <si>
    <t>✔  Woodwork (decks, fences, pergolas): 2 years structural defects</t>
  </si>
  <si>
    <t>✔  Irrigation: 2 years parts &amp; labor (proper winterization required)</t>
  </si>
  <si>
    <t>✗  Plants, sod, shrubs, trees: No warranty (living material – proper aftercare required)</t>
  </si>
  <si>
    <t>ACCEPTANCE &amp; AUTHORIZATION</t>
  </si>
  <si>
    <t>I/We hereby accept this proposal and authorize Bugaboo Landscaping Ltd to proceed.</t>
  </si>
  <si>
    <t>Client Signature: ___________________________</t>
  </si>
  <si>
    <t>Date: _______________</t>
  </si>
  <si>
    <t>Print Name: ___________________________</t>
  </si>
  <si>
    <t>🧾  MATERIAL PURCHASE LOG  —  Track Every Receipt Against Budget</t>
  </si>
  <si>
    <t>Date</t>
  </si>
  <si>
    <t>Supplier / Vendor</t>
  </si>
  <si>
    <t>Description / Item</t>
  </si>
  <si>
    <t>Category</t>
  </si>
  <si>
    <t>Unit Cost</t>
  </si>
  <si>
    <t>Total Cost</t>
  </si>
  <si>
    <t>Budget (Takeoff)</t>
  </si>
  <si>
    <t>Over/Under</t>
  </si>
  <si>
    <t>Invoice #</t>
  </si>
  <si>
    <t>TOTAL MATERIAL SPEND</t>
  </si>
  <si>
    <t>⏱️  LABOUR &amp; MACHINE TIME LOG  —  Track Hours vs. Budget</t>
  </si>
  <si>
    <t>Worker / Operator</t>
  </si>
  <si>
    <t>Task / Phase</t>
  </si>
  <si>
    <t>Labour Hrs</t>
  </si>
  <si>
    <t>Internal
Rate ($/hr)</t>
  </si>
  <si>
    <t>Internal
Labour Cost</t>
  </si>
  <si>
    <t>Machine Hrs</t>
  </si>
  <si>
    <t>Machine Rate</t>
  </si>
  <si>
    <t>Machine Cost</t>
  </si>
  <si>
    <t>Labour
Billed
($90/hr)</t>
  </si>
  <si>
    <t>TOTALS</t>
  </si>
  <si>
    <t>🔄  PROJECT RECONCILIATION &amp; PROFIT &amp; LOSS</t>
  </si>
  <si>
    <t>REVENUE</t>
  </si>
  <si>
    <t>Line Item</t>
  </si>
  <si>
    <t>Quoted</t>
  </si>
  <si>
    <t>Actual (Invoiced)</t>
  </si>
  <si>
    <t>Variance $</t>
  </si>
  <si>
    <t>Variance %</t>
  </si>
  <si>
    <t>Project Revenue (excl. GST)</t>
  </si>
  <si>
    <t>COST OF GOODS SOLD (DIRECT COSTS)</t>
  </si>
  <si>
    <t>Cost Category</t>
  </si>
  <si>
    <t>Quoted Cost</t>
  </si>
  <si>
    <t>Actual Cost</t>
  </si>
  <si>
    <t>Materials</t>
  </si>
  <si>
    <t>Labour</t>
  </si>
  <si>
    <t>Equipment / Machine</t>
  </si>
  <si>
    <t>Mobilization (Fuel, Dump, Delivery)</t>
  </si>
  <si>
    <t>Sub-Contractors</t>
  </si>
  <si>
    <t>Other Direct Costs</t>
  </si>
  <si>
    <t>TOTAL DIRECT COST</t>
  </si>
  <si>
    <t>OVERHEAD &amp; INDIRECT COSTS</t>
  </si>
  <si>
    <t>Actual</t>
  </si>
  <si>
    <t>Warranty Reserve</t>
  </si>
  <si>
    <t>Insurance allocation</t>
  </si>
  <si>
    <t>Admin / Office allocation</t>
  </si>
  <si>
    <t>PROJECT P&amp;L SUMMARY</t>
  </si>
  <si>
    <t>Revenue</t>
  </si>
  <si>
    <t>(-) Direct Costs</t>
  </si>
  <si>
    <t>(-) Overhead</t>
  </si>
  <si>
    <t>NET PROFIT / LOSS</t>
  </si>
  <si>
    <t>NET MARGIN %</t>
  </si>
  <si>
    <t>📊  LABOUR RATE ANALYSIS</t>
  </si>
  <si>
    <t>Labour Item</t>
  </si>
  <si>
    <t>Estimated</t>
  </si>
  <si>
    <t>Labour Hours (Total)</t>
  </si>
  <si>
    <t>hrs over/under estimate</t>
  </si>
  <si>
    <t>Our Labour Cost (@ $30/hr)</t>
  </si>
  <si>
    <t>Actual cost to Bugaboo</t>
  </si>
  <si>
    <t>Labour Billed to Client (@ $90/hr)</t>
  </si>
  <si>
    <t>Billed to client for labour</t>
  </si>
  <si>
    <t>Labour Overhead Contribution</t>
  </si>
  <si>
    <t>Trucks/WCB/insurance/overhead recovered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</si>
</sst>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;[Red]&quot;($&quot;#,##0.00\);\-"/>
    <numFmt numFmtId="165" formatCode="0.0%;[Red]\(0.0%\);\-"/>
    <numFmt numFmtId="166" formatCode="mm/dd/yyyy"/>
    <numFmt numFmtId="167" formatCode="#,##0.00;[Red]\(#,##0.00\);\-"/>
  </numFmts>
  <fonts count="23">
    <font>
      <sz val="11"/>
      <color theme="1"/>
      <name val="Calibri"/>
      <scheme val="minor"/>
    </font>
    <font>
      <sz val="11"/>
      <color theme="1"/>
      <name val="Calibri"/>
    </font>
    <font>
      <b/>
      <sz val="15"/>
      <color rgb="FFFFFFFF"/>
      <name val="Arial"/>
    </font>
    <font>
      <sz val="11"/>
      <name val="Calibri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i/>
      <sz val="9"/>
      <color rgb="FF757575"/>
      <name val="Arial"/>
    </font>
    <font>
      <b/>
      <sz val="16"/>
      <color rgb="FFFFFFFF"/>
      <name val="Arial"/>
    </font>
    <font>
      <sz val="10"/>
      <color rgb="FF0000FF"/>
      <name val="Arial"/>
    </font>
    <font>
      <u/>
      <sz val="11"/>
      <color theme="10"/>
      <name val="Calibri"/>
    </font>
    <font>
      <b/>
      <sz val="10"/>
      <color rgb="FFFFFFFF"/>
      <name val="Arial"/>
    </font>
    <font>
      <b/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color rgb="FF0000FF"/>
      <name val="Arial"/>
    </font>
    <font>
      <b/>
      <sz val="20"/>
      <color rgb="FFFFFFFF"/>
      <name val="Arial"/>
    </font>
    <font>
      <sz val="10"/>
      <color rgb="FFFFFFFF"/>
      <name val="Arial"/>
    </font>
    <font>
      <sz val="11"/>
      <color rgb="FF000000"/>
      <name val="Arial"/>
    </font>
    <font>
      <b/>
      <sz val="10"/>
      <color rgb="FFC62828"/>
      <name val="Arial"/>
    </font>
    <font>
      <b/>
      <sz val="14"/>
      <color rgb="FFFFFFFF"/>
      <name val="Arial"/>
    </font>
    <font>
      <b/>
      <sz val="12"/>
      <color rgb="FFFFFFFF"/>
      <name val="Arial"/>
    </font>
    <font>
      <b/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1A4731"/>
        <bgColor rgb="FF1A4731"/>
      </patternFill>
    </fill>
    <fill>
      <patternFill patternType="solid">
        <fgColor rgb="FF2D6A4F"/>
        <bgColor rgb="FF2D6A4F"/>
      </patternFill>
    </fill>
    <fill>
      <patternFill patternType="solid">
        <fgColor rgb="FFD8F3DC"/>
        <bgColor rgb="FFD8F3DC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52B788"/>
        <bgColor rgb="FF52B788"/>
      </patternFill>
    </fill>
    <fill>
      <patternFill patternType="solid">
        <fgColor rgb="FFFFF9C4"/>
        <bgColor rgb="FFFFF9C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/>
      <bottom style="thin">
        <color rgb="FFBDBDBD"/>
      </bottom>
      <diagonal/>
    </border>
    <border>
      <left/>
      <right/>
      <top/>
      <bottom style="thin">
        <color rgb="FFBDBDBD"/>
      </bottom>
      <diagonal/>
    </border>
    <border>
      <left/>
      <right/>
      <top/>
      <bottom style="thin">
        <color rgb="FFBDBDBD"/>
      </bottom>
      <diagonal/>
    </border>
    <border>
      <left/>
      <right/>
      <top style="thin">
        <color rgb="FFBDBDBD"/>
      </top>
      <bottom/>
      <diagonal/>
    </border>
    <border>
      <left/>
      <right/>
      <top style="thin">
        <color rgb="FFBDBDBD"/>
      </top>
      <bottom/>
      <diagonal/>
    </border>
    <border>
      <left/>
      <right style="thin">
        <color rgb="FFBDBDBD"/>
      </right>
      <top style="thin">
        <color rgb="FFBDBDBD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5" fillId="4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left" vertical="center" wrapText="1"/>
    </xf>
    <xf numFmtId="0" fontId="7" fillId="5" borderId="7" xfId="0" applyFont="1" applyFill="1" applyBorder="1" applyAlignment="1">
      <alignment horizontal="left" vertical="center" wrapText="1"/>
    </xf>
    <xf numFmtId="0" fontId="6" fillId="6" borderId="7" xfId="0" applyFont="1" applyFill="1" applyBorder="1" applyAlignment="1">
      <alignment horizontal="left" vertical="center" wrapText="1"/>
    </xf>
    <xf numFmtId="0" fontId="7" fillId="6" borderId="7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 wrapText="1"/>
    </xf>
    <xf numFmtId="164" fontId="6" fillId="0" borderId="7" xfId="0" applyNumberFormat="1" applyFont="1" applyBorder="1" applyAlignment="1">
      <alignment horizontal="right" vertical="center"/>
    </xf>
    <xf numFmtId="165" fontId="6" fillId="0" borderId="7" xfId="0" applyNumberFormat="1" applyFont="1" applyBorder="1" applyAlignment="1">
      <alignment horizontal="right" vertical="center"/>
    </xf>
    <xf numFmtId="0" fontId="11" fillId="3" borderId="7" xfId="0" applyFont="1" applyFill="1" applyBorder="1" applyAlignment="1">
      <alignment horizontal="center" vertical="center"/>
    </xf>
    <xf numFmtId="166" fontId="1" fillId="8" borderId="7" xfId="0" applyNumberFormat="1" applyFont="1" applyFill="1" applyBorder="1" applyAlignment="1">
      <alignment horizontal="center" vertical="center"/>
    </xf>
    <xf numFmtId="166" fontId="1" fillId="6" borderId="7" xfId="0" applyNumberFormat="1" applyFont="1" applyFill="1" applyBorder="1" applyAlignment="1">
      <alignment horizontal="center" vertical="center"/>
    </xf>
    <xf numFmtId="0" fontId="1" fillId="6" borderId="7" xfId="0" applyFont="1" applyFill="1" applyBorder="1"/>
    <xf numFmtId="0" fontId="12" fillId="8" borderId="7" xfId="0" applyFont="1" applyFill="1" applyBorder="1" applyAlignment="1">
      <alignment horizontal="left" vertical="center" wrapText="1"/>
    </xf>
    <xf numFmtId="164" fontId="1" fillId="0" borderId="0" xfId="0" applyNumberFormat="1" applyFont="1"/>
    <xf numFmtId="165" fontId="9" fillId="8" borderId="7" xfId="0" applyNumberFormat="1" applyFont="1" applyFill="1" applyBorder="1" applyAlignment="1">
      <alignment horizontal="left" vertical="center"/>
    </xf>
    <xf numFmtId="164" fontId="9" fillId="8" borderId="7" xfId="0" applyNumberFormat="1" applyFont="1" applyFill="1" applyBorder="1" applyAlignment="1">
      <alignment horizontal="left" vertical="center"/>
    </xf>
    <xf numFmtId="0" fontId="9" fillId="0" borderId="0" xfId="0" applyFont="1"/>
    <xf numFmtId="0" fontId="13" fillId="2" borderId="7" xfId="0" applyFont="1" applyFill="1" applyBorder="1" applyAlignment="1">
      <alignment horizontal="center" vertical="center" wrapText="1"/>
    </xf>
    <xf numFmtId="165" fontId="1" fillId="0" borderId="0" xfId="0" applyNumberFormat="1" applyFont="1"/>
    <xf numFmtId="0" fontId="14" fillId="5" borderId="7" xfId="0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/>
    </xf>
    <xf numFmtId="167" fontId="9" fillId="8" borderId="7" xfId="0" applyNumberFormat="1" applyFont="1" applyFill="1" applyBorder="1" applyAlignment="1">
      <alignment horizontal="left" vertical="center"/>
    </xf>
    <xf numFmtId="164" fontId="6" fillId="5" borderId="7" xfId="0" applyNumberFormat="1" applyFont="1" applyFill="1" applyBorder="1" applyAlignment="1">
      <alignment horizontal="right" vertical="center"/>
    </xf>
    <xf numFmtId="164" fontId="5" fillId="4" borderId="7" xfId="0" applyNumberFormat="1" applyFont="1" applyFill="1" applyBorder="1" applyAlignment="1">
      <alignment horizontal="right" vertical="center"/>
    </xf>
    <xf numFmtId="0" fontId="15" fillId="8" borderId="7" xfId="0" applyFont="1" applyFill="1" applyBorder="1"/>
    <xf numFmtId="164" fontId="11" fillId="7" borderId="7" xfId="0" applyNumberFormat="1" applyFont="1" applyFill="1" applyBorder="1" applyAlignment="1">
      <alignment horizontal="right" vertical="center"/>
    </xf>
    <xf numFmtId="164" fontId="11" fillId="2" borderId="7" xfId="0" applyNumberFormat="1" applyFont="1" applyFill="1" applyBorder="1" applyAlignment="1">
      <alignment horizontal="right" vertical="center"/>
    </xf>
    <xf numFmtId="164" fontId="6" fillId="4" borderId="7" xfId="0" applyNumberFormat="1" applyFont="1" applyFill="1" applyBorder="1" applyAlignment="1">
      <alignment horizontal="right" vertical="center"/>
    </xf>
    <xf numFmtId="165" fontId="6" fillId="4" borderId="7" xfId="0" applyNumberFormat="1" applyFont="1" applyFill="1" applyBorder="1" applyAlignment="1">
      <alignment horizontal="right" vertical="center"/>
    </xf>
    <xf numFmtId="0" fontId="6" fillId="4" borderId="7" xfId="0" applyFont="1" applyFill="1" applyBorder="1" applyAlignment="1">
      <alignment horizontal="right" vertical="center"/>
    </xf>
    <xf numFmtId="0" fontId="5" fillId="4" borderId="7" xfId="0" applyFont="1" applyFill="1" applyBorder="1"/>
    <xf numFmtId="0" fontId="6" fillId="6" borderId="7" xfId="0" applyFont="1" applyFill="1" applyBorder="1"/>
    <xf numFmtId="0" fontId="9" fillId="8" borderId="7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center" vertical="center"/>
    </xf>
    <xf numFmtId="0" fontId="9" fillId="8" borderId="7" xfId="0" applyFont="1" applyFill="1" applyBorder="1"/>
    <xf numFmtId="167" fontId="9" fillId="8" borderId="7" xfId="0" applyNumberFormat="1" applyFont="1" applyFill="1" applyBorder="1" applyAlignment="1">
      <alignment horizontal="center" vertical="center"/>
    </xf>
    <xf numFmtId="164" fontId="9" fillId="8" borderId="7" xfId="0" applyNumberFormat="1" applyFont="1" applyFill="1" applyBorder="1" applyAlignment="1">
      <alignment horizontal="right" vertical="center"/>
    </xf>
    <xf numFmtId="164" fontId="18" fillId="4" borderId="7" xfId="0" applyNumberFormat="1" applyFont="1" applyFill="1" applyBorder="1" applyAlignment="1">
      <alignment horizontal="right" vertical="center"/>
    </xf>
    <xf numFmtId="164" fontId="4" fillId="2" borderId="7" xfId="0" applyNumberFormat="1" applyFont="1" applyFill="1" applyBorder="1" applyAlignment="1">
      <alignment horizontal="right" vertical="center"/>
    </xf>
    <xf numFmtId="0" fontId="6" fillId="0" borderId="0" xfId="0" applyFont="1"/>
    <xf numFmtId="0" fontId="11" fillId="2" borderId="7" xfId="0" applyFont="1" applyFill="1" applyBorder="1" applyAlignment="1">
      <alignment horizontal="center" vertical="center" wrapText="1"/>
    </xf>
    <xf numFmtId="166" fontId="15" fillId="8" borderId="7" xfId="0" applyNumberFormat="1" applyFont="1" applyFill="1" applyBorder="1" applyAlignment="1">
      <alignment horizontal="center" vertical="center"/>
    </xf>
    <xf numFmtId="164" fontId="15" fillId="8" borderId="7" xfId="0" applyNumberFormat="1" applyFont="1" applyFill="1" applyBorder="1" applyAlignment="1">
      <alignment horizontal="right" vertical="center"/>
    </xf>
    <xf numFmtId="164" fontId="14" fillId="6" borderId="7" xfId="0" applyNumberFormat="1" applyFont="1" applyFill="1" applyBorder="1" applyAlignment="1">
      <alignment horizontal="right" vertical="center"/>
    </xf>
    <xf numFmtId="0" fontId="14" fillId="6" borderId="7" xfId="0" applyFont="1" applyFill="1" applyBorder="1"/>
    <xf numFmtId="164" fontId="14" fillId="5" borderId="7" xfId="0" applyNumberFormat="1" applyFont="1" applyFill="1" applyBorder="1" applyAlignment="1">
      <alignment horizontal="right" vertical="center"/>
    </xf>
    <xf numFmtId="0" fontId="14" fillId="5" borderId="7" xfId="0" applyFont="1" applyFill="1" applyBorder="1"/>
    <xf numFmtId="0" fontId="1" fillId="0" borderId="0" xfId="0" applyFont="1" applyAlignment="1">
      <alignment wrapText="1"/>
    </xf>
    <xf numFmtId="164" fontId="14" fillId="6" borderId="7" xfId="0" applyNumberFormat="1" applyFont="1" applyFill="1" applyBorder="1"/>
    <xf numFmtId="164" fontId="14" fillId="5" borderId="7" xfId="0" applyNumberFormat="1" applyFont="1" applyFill="1" applyBorder="1"/>
    <xf numFmtId="0" fontId="11" fillId="2" borderId="7" xfId="0" applyFont="1" applyFill="1" applyBorder="1" applyAlignment="1">
      <alignment horizontal="right" vertical="center"/>
    </xf>
    <xf numFmtId="165" fontId="5" fillId="4" borderId="7" xfId="0" applyNumberFormat="1" applyFont="1" applyFill="1" applyBorder="1" applyAlignment="1">
      <alignment horizontal="right" vertical="center"/>
    </xf>
    <xf numFmtId="0" fontId="21" fillId="2" borderId="7" xfId="0" applyFont="1" applyFill="1" applyBorder="1" applyAlignment="1">
      <alignment horizontal="left" vertical="center" wrapText="1"/>
    </xf>
    <xf numFmtId="164" fontId="21" fillId="7" borderId="7" xfId="0" applyNumberFormat="1" applyFont="1" applyFill="1" applyBorder="1" applyAlignment="1">
      <alignment horizontal="right" vertical="center"/>
    </xf>
    <xf numFmtId="165" fontId="21" fillId="7" borderId="7" xfId="0" applyNumberFormat="1" applyFont="1" applyFill="1" applyBorder="1" applyAlignment="1">
      <alignment horizontal="right" vertical="center"/>
    </xf>
    <xf numFmtId="0" fontId="22" fillId="0" borderId="0" xfId="0" applyFont="1"/>
    <xf numFmtId="164" fontId="1" fillId="0" borderId="0" xfId="0" applyNumberFormat="1" applyFont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3" borderId="4" xfId="0" applyFont="1" applyFill="1" applyBorder="1" applyAlignment="1">
      <alignment horizontal="left" vertical="center"/>
    </xf>
    <xf numFmtId="0" fontId="3" fillId="0" borderId="5" xfId="0" applyFont="1" applyBorder="1"/>
    <xf numFmtId="0" fontId="3" fillId="0" borderId="6" xfId="0" applyFont="1" applyBorder="1"/>
    <xf numFmtId="0" fontId="8" fillId="2" borderId="1" xfId="0" applyFont="1" applyFill="1" applyBorder="1" applyAlignment="1">
      <alignment horizontal="center" vertical="center"/>
    </xf>
    <xf numFmtId="0" fontId="1" fillId="7" borderId="1" xfId="0" applyFont="1" applyFill="1" applyBorder="1"/>
    <xf numFmtId="0" fontId="9" fillId="8" borderId="4" xfId="0" applyFont="1" applyFill="1" applyBorder="1" applyAlignment="1">
      <alignment horizontal="left" vertical="center"/>
    </xf>
    <xf numFmtId="0" fontId="3" fillId="0" borderId="8" xfId="0" applyFont="1" applyBorder="1"/>
    <xf numFmtId="0" fontId="4" fillId="3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10" fillId="8" borderId="4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right" vertical="center"/>
    </xf>
    <xf numFmtId="0" fontId="11" fillId="3" borderId="9" xfId="0" applyFont="1" applyFill="1" applyBorder="1" applyAlignment="1">
      <alignment horizontal="left" vertical="center"/>
    </xf>
    <xf numFmtId="0" fontId="3" fillId="0" borderId="10" xfId="0" applyFont="1" applyBorder="1"/>
    <xf numFmtId="0" fontId="3" fillId="0" borderId="11" xfId="0" applyFont="1" applyBorder="1"/>
    <xf numFmtId="0" fontId="11" fillId="7" borderId="12" xfId="0" applyFont="1" applyFill="1" applyBorder="1" applyAlignment="1">
      <alignment horizontal="right" vertical="center"/>
    </xf>
    <xf numFmtId="0" fontId="3" fillId="0" borderId="13" xfId="0" applyFont="1" applyBorder="1"/>
    <xf numFmtId="0" fontId="3" fillId="0" borderId="14" xfId="0" applyFont="1" applyBorder="1"/>
    <xf numFmtId="0" fontId="6" fillId="4" borderId="4" xfId="0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0" fillId="0" borderId="0" xfId="0"/>
    <xf numFmtId="0" fontId="11" fillId="2" borderId="4" xfId="0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 wrapText="1"/>
    </xf>
    <xf numFmtId="0" fontId="18" fillId="4" borderId="4" xfId="0" applyFont="1" applyFill="1" applyBorder="1" applyAlignment="1">
      <alignment horizontal="right" vertical="center"/>
    </xf>
    <xf numFmtId="0" fontId="14" fillId="4" borderId="4" xfId="0" applyFont="1" applyFill="1" applyBorder="1" applyAlignment="1">
      <alignment horizontal="left" vertical="center" wrapText="1"/>
    </xf>
    <xf numFmtId="0" fontId="6" fillId="0" borderId="0" xfId="0" applyFont="1"/>
    <xf numFmtId="0" fontId="4" fillId="2" borderId="4" xfId="0" applyFont="1" applyFill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2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showGridLines="0" workbookViewId="0"/>
  </sheetViews>
  <sheetFormatPr defaultColWidth="14.42578125" defaultRowHeight="15" customHeight="1"/>
  <cols>
    <col min="1" max="1" width="3" customWidth="1"/>
    <col min="2" max="2" width="5" customWidth="1"/>
    <col min="3" max="3" width="48" customWidth="1"/>
    <col min="4" max="4" width="60.28515625" customWidth="1"/>
    <col min="5" max="5" width="3" customWidth="1"/>
    <col min="6" max="6" width="8.7109375" customWidth="1"/>
  </cols>
  <sheetData>
    <row r="1" spans="1:5" ht="39.75" customHeight="1">
      <c r="A1" s="1"/>
      <c r="B1" s="59" t="s">
        <v>0</v>
      </c>
      <c r="C1" s="60"/>
      <c r="D1" s="61"/>
      <c r="E1" s="1"/>
    </row>
    <row r="2" spans="1:5">
      <c r="A2" s="1"/>
      <c r="B2" s="1"/>
      <c r="C2" s="1"/>
      <c r="D2" s="1"/>
      <c r="E2" s="1"/>
    </row>
    <row r="3" spans="1:5" ht="21.75" customHeight="1">
      <c r="A3" s="1"/>
      <c r="B3" s="62" t="s">
        <v>1</v>
      </c>
      <c r="C3" s="63"/>
      <c r="D3" s="64"/>
      <c r="E3" s="1"/>
    </row>
    <row r="4" spans="1:5" ht="30" customHeight="1">
      <c r="A4" s="1"/>
      <c r="B4" s="2" t="s">
        <v>2</v>
      </c>
      <c r="C4" s="3" t="s">
        <v>3</v>
      </c>
      <c r="D4" s="4" t="s">
        <v>4</v>
      </c>
      <c r="E4" s="1"/>
    </row>
    <row r="5" spans="1:5" ht="30" customHeight="1">
      <c r="A5" s="1"/>
      <c r="B5" s="2" t="s">
        <v>5</v>
      </c>
      <c r="C5" s="5" t="s">
        <v>6</v>
      </c>
      <c r="D5" s="6" t="s">
        <v>7</v>
      </c>
      <c r="E5" s="1"/>
    </row>
    <row r="6" spans="1:5" ht="30" customHeight="1">
      <c r="A6" s="1"/>
      <c r="B6" s="2" t="s">
        <v>8</v>
      </c>
      <c r="C6" s="3" t="s">
        <v>9</v>
      </c>
      <c r="D6" s="4" t="s">
        <v>10</v>
      </c>
      <c r="E6" s="1"/>
    </row>
    <row r="7" spans="1:5" ht="30" customHeight="1">
      <c r="A7" s="1"/>
      <c r="B7" s="1"/>
      <c r="C7" s="1"/>
      <c r="D7" s="1"/>
      <c r="E7" s="1"/>
    </row>
    <row r="8" spans="1:5" ht="30" customHeight="1">
      <c r="A8" s="1"/>
      <c r="B8" s="62" t="s">
        <v>11</v>
      </c>
      <c r="C8" s="63"/>
      <c r="D8" s="64"/>
      <c r="E8" s="1"/>
    </row>
    <row r="9" spans="1:5" ht="30" customHeight="1">
      <c r="A9" s="1"/>
      <c r="B9" s="2" t="s">
        <v>12</v>
      </c>
      <c r="C9" s="5" t="s">
        <v>13</v>
      </c>
      <c r="D9" s="6" t="s">
        <v>14</v>
      </c>
      <c r="E9" s="1"/>
    </row>
    <row r="10" spans="1:5" ht="30" customHeight="1">
      <c r="A10" s="1"/>
      <c r="B10" s="2" t="s">
        <v>15</v>
      </c>
      <c r="C10" s="3" t="s">
        <v>16</v>
      </c>
      <c r="D10" s="4" t="s">
        <v>17</v>
      </c>
      <c r="E10" s="1"/>
    </row>
    <row r="11" spans="1:5" ht="30" customHeight="1">
      <c r="A11" s="1"/>
      <c r="B11" s="2" t="s">
        <v>18</v>
      </c>
      <c r="C11" s="5" t="s">
        <v>19</v>
      </c>
      <c r="D11" s="6" t="s">
        <v>20</v>
      </c>
      <c r="E11" s="1"/>
    </row>
    <row r="12" spans="1:5" ht="30" customHeight="1">
      <c r="A12" s="1"/>
      <c r="B12" s="2" t="s">
        <v>21</v>
      </c>
      <c r="C12" s="3" t="s">
        <v>22</v>
      </c>
      <c r="D12" s="4" t="s">
        <v>23</v>
      </c>
      <c r="E12" s="1"/>
    </row>
    <row r="13" spans="1:5" ht="30" customHeight="1">
      <c r="A13" s="1"/>
      <c r="B13" s="2" t="s">
        <v>24</v>
      </c>
      <c r="C13" s="5" t="s">
        <v>25</v>
      </c>
      <c r="D13" s="6" t="s">
        <v>26</v>
      </c>
      <c r="E13" s="1"/>
    </row>
    <row r="14" spans="1:5" ht="30" customHeight="1">
      <c r="A14" s="1"/>
      <c r="B14" s="2" t="s">
        <v>27</v>
      </c>
      <c r="C14" s="3" t="s">
        <v>28</v>
      </c>
      <c r="D14" s="4" t="s">
        <v>29</v>
      </c>
      <c r="E14" s="1"/>
    </row>
    <row r="15" spans="1:5" ht="30" customHeight="1">
      <c r="A15" s="1"/>
      <c r="B15" s="1"/>
      <c r="C15" s="1"/>
      <c r="D15" s="1"/>
      <c r="E15" s="1"/>
    </row>
    <row r="16" spans="1:5" ht="30" customHeight="1">
      <c r="A16" s="1"/>
      <c r="B16" s="62" t="s">
        <v>30</v>
      </c>
      <c r="C16" s="63"/>
      <c r="D16" s="64"/>
      <c r="E16" s="1"/>
    </row>
    <row r="17" spans="1:5" ht="30" customHeight="1">
      <c r="A17" s="1"/>
      <c r="B17" s="2" t="s">
        <v>31</v>
      </c>
      <c r="C17" s="5" t="s">
        <v>32</v>
      </c>
      <c r="D17" s="6" t="s">
        <v>33</v>
      </c>
      <c r="E17" s="1"/>
    </row>
    <row r="18" spans="1:5" ht="30" customHeight="1">
      <c r="A18" s="1"/>
      <c r="B18" s="2" t="s">
        <v>34</v>
      </c>
      <c r="C18" s="3" t="s">
        <v>35</v>
      </c>
      <c r="D18" s="4" t="s">
        <v>36</v>
      </c>
      <c r="E18" s="1"/>
    </row>
    <row r="19" spans="1:5" ht="30" customHeight="1">
      <c r="A19" s="1"/>
      <c r="B19" s="2" t="s">
        <v>37</v>
      </c>
      <c r="C19" s="5" t="s">
        <v>38</v>
      </c>
      <c r="D19" s="6" t="s">
        <v>39</v>
      </c>
      <c r="E19" s="1"/>
    </row>
    <row r="20" spans="1:5" ht="30" customHeight="1">
      <c r="A20" s="1"/>
      <c r="B20" s="1"/>
      <c r="C20" s="1"/>
      <c r="D20" s="1"/>
      <c r="E20" s="1"/>
    </row>
    <row r="21" spans="1:5" ht="30" customHeight="1">
      <c r="A21" s="1"/>
      <c r="B21" s="62" t="s">
        <v>40</v>
      </c>
      <c r="C21" s="63"/>
      <c r="D21" s="64"/>
      <c r="E21" s="1"/>
    </row>
    <row r="22" spans="1:5" ht="30" customHeight="1">
      <c r="A22" s="1"/>
      <c r="B22" s="2" t="s">
        <v>41</v>
      </c>
      <c r="C22" s="3" t="s">
        <v>42</v>
      </c>
      <c r="D22" s="4" t="s">
        <v>43</v>
      </c>
      <c r="E22" s="1"/>
    </row>
    <row r="23" spans="1:5" ht="30" customHeight="1">
      <c r="A23" s="1"/>
      <c r="B23" s="2" t="s">
        <v>44</v>
      </c>
      <c r="C23" s="5" t="s">
        <v>45</v>
      </c>
      <c r="D23" s="6" t="s">
        <v>46</v>
      </c>
      <c r="E23" s="1"/>
    </row>
    <row r="24" spans="1:5" ht="30" customHeight="1">
      <c r="A24" s="1"/>
      <c r="B24" s="2" t="s">
        <v>47</v>
      </c>
      <c r="C24" s="3" t="s">
        <v>48</v>
      </c>
      <c r="D24" s="4" t="s">
        <v>49</v>
      </c>
      <c r="E24" s="1"/>
    </row>
    <row r="25" spans="1:5" ht="30" customHeight="1">
      <c r="A25" s="1"/>
      <c r="B25" s="2" t="s">
        <v>50</v>
      </c>
      <c r="C25" s="5" t="s">
        <v>51</v>
      </c>
      <c r="D25" s="6" t="s">
        <v>52</v>
      </c>
      <c r="E25" s="1"/>
    </row>
    <row r="26" spans="1:5" ht="30" customHeight="1">
      <c r="A26" s="1"/>
      <c r="B26" s="2" t="s">
        <v>53</v>
      </c>
      <c r="C26" s="3" t="s">
        <v>54</v>
      </c>
      <c r="D26" s="4" t="s">
        <v>55</v>
      </c>
      <c r="E26" s="1"/>
    </row>
    <row r="27" spans="1:5" ht="30" customHeight="1">
      <c r="A27" s="1"/>
      <c r="B27" s="2" t="s">
        <v>56</v>
      </c>
      <c r="C27" s="5" t="s">
        <v>57</v>
      </c>
      <c r="D27" s="6" t="s">
        <v>58</v>
      </c>
      <c r="E27" s="1"/>
    </row>
    <row r="28" spans="1:5" ht="30" customHeight="1">
      <c r="A28" s="1"/>
      <c r="B28" s="1"/>
      <c r="C28" s="1"/>
      <c r="D28" s="1"/>
      <c r="E28" s="1"/>
    </row>
    <row r="29" spans="1:5" ht="30" customHeight="1">
      <c r="A29" s="1"/>
      <c r="B29" s="62" t="s">
        <v>59</v>
      </c>
      <c r="C29" s="63"/>
      <c r="D29" s="64"/>
      <c r="E29" s="1"/>
    </row>
    <row r="30" spans="1:5" ht="30" customHeight="1">
      <c r="A30" s="1"/>
      <c r="B30" s="2" t="s">
        <v>60</v>
      </c>
      <c r="C30" s="3" t="s">
        <v>61</v>
      </c>
      <c r="D30" s="4" t="s">
        <v>62</v>
      </c>
      <c r="E30" s="1"/>
    </row>
    <row r="31" spans="1:5" ht="30" customHeight="1">
      <c r="A31" s="1"/>
      <c r="B31" s="2" t="s">
        <v>63</v>
      </c>
      <c r="C31" s="5" t="s">
        <v>64</v>
      </c>
      <c r="D31" s="6" t="s">
        <v>65</v>
      </c>
      <c r="E31" s="1"/>
    </row>
    <row r="32" spans="1:5" ht="30" customHeight="1">
      <c r="A32" s="1"/>
      <c r="B32" s="2" t="s">
        <v>66</v>
      </c>
      <c r="C32" s="3" t="s">
        <v>67</v>
      </c>
      <c r="D32" s="4" t="s">
        <v>68</v>
      </c>
      <c r="E32" s="1"/>
    </row>
    <row r="33" spans="1:5" ht="30" customHeight="1">
      <c r="A33" s="1"/>
      <c r="B33" s="2" t="s">
        <v>69</v>
      </c>
      <c r="C33" s="5" t="s">
        <v>70</v>
      </c>
      <c r="D33" s="6" t="s">
        <v>71</v>
      </c>
      <c r="E33" s="1"/>
    </row>
    <row r="34" spans="1:5" ht="30" customHeight="1">
      <c r="A34" s="1"/>
      <c r="B34" s="1"/>
      <c r="C34" s="1"/>
      <c r="D34" s="1"/>
      <c r="E34" s="1"/>
    </row>
    <row r="35" spans="1:5" ht="30" customHeight="1">
      <c r="A35" s="1"/>
      <c r="B35" s="62" t="s">
        <v>72</v>
      </c>
      <c r="C35" s="63"/>
      <c r="D35" s="64"/>
      <c r="E35" s="1"/>
    </row>
    <row r="36" spans="1:5" ht="30" customHeight="1">
      <c r="A36" s="1"/>
      <c r="B36" s="2" t="s">
        <v>73</v>
      </c>
      <c r="C36" s="3" t="s">
        <v>74</v>
      </c>
      <c r="D36" s="4" t="s">
        <v>75</v>
      </c>
      <c r="E36" s="1"/>
    </row>
    <row r="37" spans="1:5" ht="30" customHeight="1">
      <c r="A37" s="1"/>
      <c r="B37" s="2" t="s">
        <v>76</v>
      </c>
      <c r="C37" s="5" t="s">
        <v>77</v>
      </c>
      <c r="D37" s="6" t="s">
        <v>78</v>
      </c>
      <c r="E37" s="1"/>
    </row>
    <row r="38" spans="1:5" ht="30" customHeight="1">
      <c r="A38" s="1"/>
      <c r="B38" s="2" t="s">
        <v>79</v>
      </c>
      <c r="C38" s="3" t="s">
        <v>80</v>
      </c>
      <c r="D38" s="4" t="s">
        <v>81</v>
      </c>
      <c r="E38" s="1"/>
    </row>
    <row r="39" spans="1:5" ht="30" customHeight="1">
      <c r="A39" s="1"/>
      <c r="B39" s="2" t="s">
        <v>82</v>
      </c>
      <c r="C39" s="5" t="s">
        <v>83</v>
      </c>
      <c r="D39" s="6" t="s">
        <v>84</v>
      </c>
      <c r="E39" s="1"/>
    </row>
    <row r="40" spans="1:5" ht="30" customHeight="1">
      <c r="A40" s="1"/>
      <c r="B40" s="2" t="s">
        <v>85</v>
      </c>
      <c r="C40" s="3" t="s">
        <v>86</v>
      </c>
      <c r="D40" s="4" t="s">
        <v>87</v>
      </c>
      <c r="E40" s="1"/>
    </row>
    <row r="41" spans="1:5" ht="15.75" customHeight="1">
      <c r="A41" s="1"/>
      <c r="B41" s="1"/>
      <c r="C41" s="1"/>
      <c r="D41" s="1"/>
      <c r="E41" s="1"/>
    </row>
    <row r="42" spans="1:5" ht="15.75" customHeight="1">
      <c r="A42" s="1"/>
      <c r="B42" s="1"/>
      <c r="C42" s="1"/>
      <c r="D42" s="1"/>
      <c r="E42" s="1"/>
    </row>
    <row r="43" spans="1:5" ht="15.75" customHeight="1">
      <c r="A43" s="1"/>
      <c r="B43" s="1"/>
      <c r="C43" s="1"/>
      <c r="D43" s="1"/>
      <c r="E43" s="1"/>
    </row>
    <row r="44" spans="1:5" ht="15.75" customHeight="1">
      <c r="A44" s="1"/>
      <c r="B44" s="1"/>
      <c r="C44" s="1"/>
      <c r="D44" s="1"/>
      <c r="E44" s="1"/>
    </row>
    <row r="45" spans="1:5" ht="15.75" customHeight="1">
      <c r="A45" s="1"/>
      <c r="B45" s="1"/>
      <c r="C45" s="1"/>
      <c r="D45" s="1"/>
      <c r="E45" s="1"/>
    </row>
    <row r="46" spans="1:5" ht="15.75" customHeight="1">
      <c r="A46" s="1"/>
      <c r="B46" s="1"/>
      <c r="C46" s="1"/>
      <c r="D46" s="1"/>
      <c r="E46" s="1"/>
    </row>
    <row r="47" spans="1:5" ht="15.75" customHeight="1">
      <c r="A47" s="1"/>
      <c r="B47" s="1"/>
      <c r="C47" s="1"/>
      <c r="D47" s="1"/>
      <c r="E47" s="1"/>
    </row>
    <row r="48" spans="1:5" ht="15.75" customHeight="1">
      <c r="A48" s="1"/>
      <c r="B48" s="1"/>
      <c r="C48" s="1"/>
      <c r="D48" s="1"/>
      <c r="E48" s="1"/>
    </row>
    <row r="49" spans="1:5" ht="15.75" customHeight="1">
      <c r="A49" s="1"/>
      <c r="B49" s="1"/>
      <c r="C49" s="1"/>
      <c r="D49" s="1"/>
      <c r="E49" s="1"/>
    </row>
    <row r="50" spans="1:5" ht="15.75" customHeight="1">
      <c r="A50" s="1"/>
      <c r="B50" s="1"/>
      <c r="C50" s="1"/>
      <c r="D50" s="1"/>
      <c r="E50" s="1"/>
    </row>
    <row r="51" spans="1:5" ht="15.75" customHeight="1">
      <c r="A51" s="1"/>
      <c r="B51" s="1"/>
      <c r="C51" s="1"/>
      <c r="D51" s="1"/>
      <c r="E51" s="1"/>
    </row>
    <row r="52" spans="1:5" ht="15.75" customHeight="1">
      <c r="A52" s="1"/>
      <c r="B52" s="1"/>
      <c r="C52" s="1"/>
      <c r="D52" s="1"/>
      <c r="E52" s="1"/>
    </row>
    <row r="53" spans="1:5" ht="15.75" customHeight="1">
      <c r="A53" s="1"/>
      <c r="B53" s="1"/>
      <c r="C53" s="1"/>
      <c r="D53" s="1"/>
      <c r="E53" s="1"/>
    </row>
    <row r="54" spans="1:5" ht="15.75" customHeight="1">
      <c r="A54" s="1"/>
      <c r="B54" s="1"/>
      <c r="C54" s="1"/>
      <c r="D54" s="1"/>
      <c r="E54" s="1"/>
    </row>
    <row r="55" spans="1:5" ht="15.75" customHeight="1">
      <c r="A55" s="1"/>
      <c r="B55" s="1"/>
      <c r="C55" s="1"/>
      <c r="D55" s="1"/>
      <c r="E55" s="1"/>
    </row>
    <row r="56" spans="1:5" ht="15.75" customHeight="1">
      <c r="A56" s="1"/>
      <c r="B56" s="1"/>
      <c r="C56" s="1"/>
      <c r="D56" s="1"/>
      <c r="E56" s="1"/>
    </row>
    <row r="57" spans="1:5" ht="15.75" customHeight="1">
      <c r="A57" s="1"/>
      <c r="B57" s="1"/>
      <c r="C57" s="1"/>
      <c r="D57" s="1"/>
      <c r="E57" s="1"/>
    </row>
    <row r="58" spans="1:5" ht="15.75" customHeight="1">
      <c r="A58" s="1"/>
      <c r="B58" s="1"/>
      <c r="C58" s="1"/>
      <c r="D58" s="1"/>
      <c r="E58" s="1"/>
    </row>
    <row r="59" spans="1:5" ht="15.75" customHeight="1">
      <c r="A59" s="1"/>
      <c r="B59" s="1"/>
      <c r="C59" s="1"/>
      <c r="D59" s="1"/>
      <c r="E59" s="1"/>
    </row>
    <row r="60" spans="1:5" ht="15.75" customHeight="1">
      <c r="A60" s="1"/>
      <c r="B60" s="1"/>
      <c r="C60" s="1"/>
      <c r="D60" s="1"/>
      <c r="E60" s="1"/>
    </row>
    <row r="61" spans="1:5" ht="15.75" customHeight="1">
      <c r="A61" s="1"/>
      <c r="B61" s="1"/>
      <c r="C61" s="1"/>
      <c r="D61" s="1"/>
      <c r="E61" s="1"/>
    </row>
    <row r="62" spans="1:5" ht="15.75" customHeight="1">
      <c r="A62" s="1"/>
      <c r="B62" s="1"/>
      <c r="C62" s="1"/>
      <c r="D62" s="1"/>
      <c r="E62" s="1"/>
    </row>
    <row r="63" spans="1:5" ht="15.75" customHeight="1">
      <c r="A63" s="1"/>
      <c r="B63" s="1"/>
      <c r="C63" s="1"/>
      <c r="D63" s="1"/>
      <c r="E63" s="1"/>
    </row>
    <row r="64" spans="1:5" ht="15.75" customHeight="1">
      <c r="A64" s="1"/>
      <c r="B64" s="1"/>
      <c r="C64" s="1"/>
      <c r="D64" s="1"/>
      <c r="E64" s="1"/>
    </row>
    <row r="65" spans="1:5" ht="15.75" customHeight="1">
      <c r="A65" s="1"/>
      <c r="B65" s="1"/>
      <c r="C65" s="1"/>
      <c r="D65" s="1"/>
      <c r="E65" s="1"/>
    </row>
    <row r="66" spans="1:5" ht="15.75" customHeight="1">
      <c r="A66" s="1"/>
      <c r="B66" s="1"/>
      <c r="C66" s="1"/>
      <c r="D66" s="1"/>
      <c r="E66" s="1"/>
    </row>
    <row r="67" spans="1:5" ht="15.75" customHeight="1">
      <c r="A67" s="1"/>
      <c r="B67" s="1"/>
      <c r="C67" s="1"/>
      <c r="D67" s="1"/>
      <c r="E67" s="1"/>
    </row>
    <row r="68" spans="1:5" ht="15.75" customHeight="1">
      <c r="A68" s="1"/>
      <c r="B68" s="1"/>
      <c r="C68" s="1"/>
      <c r="D68" s="1"/>
      <c r="E68" s="1"/>
    </row>
    <row r="69" spans="1:5" ht="15.75" customHeight="1">
      <c r="A69" s="1"/>
      <c r="B69" s="1"/>
      <c r="C69" s="1"/>
      <c r="D69" s="1"/>
      <c r="E69" s="1"/>
    </row>
    <row r="70" spans="1:5" ht="15.75" customHeight="1">
      <c r="A70" s="1"/>
      <c r="B70" s="1"/>
      <c r="C70" s="1"/>
      <c r="D70" s="1"/>
      <c r="E70" s="1"/>
    </row>
    <row r="71" spans="1:5" ht="15.75" customHeight="1">
      <c r="A71" s="1"/>
      <c r="B71" s="1"/>
      <c r="C71" s="1"/>
      <c r="D71" s="1"/>
      <c r="E71" s="1"/>
    </row>
    <row r="72" spans="1:5" ht="15.75" customHeight="1">
      <c r="A72" s="1"/>
      <c r="B72" s="1"/>
      <c r="C72" s="1"/>
      <c r="D72" s="1"/>
      <c r="E72" s="1"/>
    </row>
    <row r="73" spans="1:5" ht="15.75" customHeight="1">
      <c r="A73" s="1"/>
      <c r="B73" s="1"/>
      <c r="C73" s="1"/>
      <c r="D73" s="1"/>
      <c r="E73" s="1"/>
    </row>
    <row r="74" spans="1:5" ht="15.75" customHeight="1">
      <c r="A74" s="1"/>
      <c r="B74" s="1"/>
      <c r="C74" s="1"/>
      <c r="D74" s="1"/>
      <c r="E74" s="1"/>
    </row>
    <row r="75" spans="1:5" ht="15.75" customHeight="1">
      <c r="A75" s="1"/>
      <c r="B75" s="1"/>
      <c r="C75" s="1"/>
      <c r="D75" s="1"/>
      <c r="E75" s="1"/>
    </row>
    <row r="76" spans="1:5" ht="15.75" customHeight="1">
      <c r="A76" s="1"/>
      <c r="B76" s="1"/>
      <c r="C76" s="1"/>
      <c r="D76" s="1"/>
      <c r="E76" s="1"/>
    </row>
    <row r="77" spans="1:5" ht="15.75" customHeight="1">
      <c r="A77" s="1"/>
      <c r="B77" s="1"/>
      <c r="C77" s="1"/>
      <c r="D77" s="1"/>
      <c r="E77" s="1"/>
    </row>
    <row r="78" spans="1:5" ht="15.75" customHeight="1">
      <c r="A78" s="1"/>
      <c r="B78" s="1"/>
      <c r="C78" s="1"/>
      <c r="D78" s="1"/>
      <c r="E78" s="1"/>
    </row>
    <row r="79" spans="1:5" ht="15.75" customHeight="1">
      <c r="A79" s="1"/>
      <c r="B79" s="1"/>
      <c r="C79" s="1"/>
      <c r="D79" s="1"/>
      <c r="E79" s="1"/>
    </row>
    <row r="80" spans="1:5" ht="15.75" customHeight="1">
      <c r="A80" s="1"/>
      <c r="B80" s="1"/>
      <c r="C80" s="1"/>
      <c r="D80" s="1"/>
      <c r="E80" s="1"/>
    </row>
    <row r="81" spans="1:5" ht="15.75" customHeight="1">
      <c r="A81" s="1"/>
      <c r="B81" s="1"/>
      <c r="C81" s="1"/>
      <c r="D81" s="1"/>
      <c r="E81" s="1"/>
    </row>
    <row r="82" spans="1:5" ht="15.75" customHeight="1">
      <c r="A82" s="1"/>
      <c r="B82" s="1"/>
      <c r="C82" s="1"/>
      <c r="D82" s="1"/>
      <c r="E82" s="1"/>
    </row>
    <row r="83" spans="1:5" ht="15.75" customHeight="1">
      <c r="A83" s="1"/>
      <c r="B83" s="1"/>
      <c r="C83" s="1"/>
      <c r="D83" s="1"/>
      <c r="E83" s="1"/>
    </row>
    <row r="84" spans="1:5" ht="15.75" customHeight="1">
      <c r="A84" s="1"/>
      <c r="B84" s="1"/>
      <c r="C84" s="1"/>
      <c r="D84" s="1"/>
      <c r="E84" s="1"/>
    </row>
    <row r="85" spans="1:5" ht="15.75" customHeight="1">
      <c r="A85" s="1"/>
      <c r="B85" s="1"/>
      <c r="C85" s="1"/>
      <c r="D85" s="1"/>
      <c r="E85" s="1"/>
    </row>
    <row r="86" spans="1:5" ht="15.75" customHeight="1">
      <c r="A86" s="1"/>
      <c r="B86" s="1"/>
      <c r="C86" s="1"/>
      <c r="D86" s="1"/>
      <c r="E86" s="1"/>
    </row>
    <row r="87" spans="1:5" ht="15.75" customHeight="1">
      <c r="A87" s="1"/>
      <c r="B87" s="1"/>
      <c r="C87" s="1"/>
      <c r="D87" s="1"/>
      <c r="E87" s="1"/>
    </row>
    <row r="88" spans="1:5" ht="15.75" customHeight="1">
      <c r="A88" s="1"/>
      <c r="B88" s="1"/>
      <c r="C88" s="1"/>
      <c r="D88" s="1"/>
      <c r="E88" s="1"/>
    </row>
    <row r="89" spans="1:5" ht="15.75" customHeight="1">
      <c r="A89" s="1"/>
      <c r="B89" s="1"/>
      <c r="C89" s="1"/>
      <c r="D89" s="1"/>
      <c r="E89" s="1"/>
    </row>
    <row r="90" spans="1:5" ht="15.75" customHeight="1">
      <c r="A90" s="1"/>
      <c r="B90" s="1"/>
      <c r="C90" s="1"/>
      <c r="D90" s="1"/>
      <c r="E90" s="1"/>
    </row>
    <row r="91" spans="1:5" ht="15.75" customHeight="1">
      <c r="A91" s="1"/>
      <c r="B91" s="1"/>
      <c r="C91" s="1"/>
      <c r="D91" s="1"/>
      <c r="E91" s="1"/>
    </row>
    <row r="92" spans="1:5" ht="15.75" customHeight="1">
      <c r="A92" s="1"/>
      <c r="B92" s="1"/>
      <c r="C92" s="1"/>
      <c r="D92" s="1"/>
      <c r="E92" s="1"/>
    </row>
    <row r="93" spans="1:5" ht="15.75" customHeight="1">
      <c r="A93" s="1"/>
      <c r="B93" s="1"/>
      <c r="C93" s="1"/>
      <c r="D93" s="1"/>
      <c r="E93" s="1"/>
    </row>
    <row r="94" spans="1:5" ht="15.75" customHeight="1">
      <c r="A94" s="1"/>
      <c r="B94" s="1"/>
      <c r="C94" s="1"/>
      <c r="D94" s="1"/>
      <c r="E94" s="1"/>
    </row>
    <row r="95" spans="1:5" ht="15.75" customHeight="1">
      <c r="A95" s="1"/>
      <c r="B95" s="1"/>
      <c r="C95" s="1"/>
      <c r="D95" s="1"/>
      <c r="E95" s="1"/>
    </row>
    <row r="96" spans="1:5" ht="15.75" customHeight="1">
      <c r="A96" s="1"/>
      <c r="B96" s="1"/>
      <c r="C96" s="1"/>
      <c r="D96" s="1"/>
      <c r="E96" s="1"/>
    </row>
    <row r="97" spans="1:5" ht="15.75" customHeight="1">
      <c r="A97" s="1"/>
      <c r="B97" s="1"/>
      <c r="C97" s="1"/>
      <c r="D97" s="1"/>
      <c r="E97" s="1"/>
    </row>
    <row r="98" spans="1:5" ht="15.75" customHeight="1">
      <c r="A98" s="1"/>
      <c r="B98" s="1"/>
      <c r="C98" s="1"/>
      <c r="D98" s="1"/>
      <c r="E98" s="1"/>
    </row>
    <row r="99" spans="1:5" ht="15.75" customHeight="1">
      <c r="A99" s="1"/>
      <c r="B99" s="1"/>
      <c r="C99" s="1"/>
      <c r="D99" s="1"/>
      <c r="E99" s="1"/>
    </row>
    <row r="100" spans="1:5" ht="15.75" customHeight="1">
      <c r="A100" s="1"/>
      <c r="B100" s="1"/>
      <c r="C100" s="1"/>
      <c r="D100" s="1"/>
      <c r="E100" s="1"/>
    </row>
    <row r="101" spans="1:5" ht="15.75" customHeight="1">
      <c r="A101" s="1"/>
      <c r="B101" s="1"/>
      <c r="C101" s="1"/>
      <c r="D101" s="1"/>
      <c r="E101" s="1"/>
    </row>
    <row r="102" spans="1:5" ht="15.75" customHeight="1">
      <c r="A102" s="1"/>
      <c r="B102" s="1"/>
      <c r="C102" s="1"/>
      <c r="D102" s="1"/>
      <c r="E102" s="1"/>
    </row>
    <row r="103" spans="1:5" ht="15.75" customHeight="1">
      <c r="A103" s="1"/>
      <c r="B103" s="1"/>
      <c r="C103" s="1"/>
      <c r="D103" s="1"/>
      <c r="E103" s="1"/>
    </row>
    <row r="104" spans="1:5" ht="15.75" customHeight="1">
      <c r="A104" s="1"/>
      <c r="B104" s="1"/>
      <c r="C104" s="1"/>
      <c r="D104" s="1"/>
      <c r="E104" s="1"/>
    </row>
    <row r="105" spans="1:5" ht="15.75" customHeight="1">
      <c r="A105" s="1"/>
      <c r="B105" s="1"/>
      <c r="C105" s="1"/>
      <c r="D105" s="1"/>
      <c r="E105" s="1"/>
    </row>
    <row r="106" spans="1:5" ht="15.75" customHeight="1">
      <c r="A106" s="1"/>
      <c r="B106" s="1"/>
      <c r="C106" s="1"/>
      <c r="D106" s="1"/>
      <c r="E106" s="1"/>
    </row>
    <row r="107" spans="1:5" ht="15.75" customHeight="1">
      <c r="A107" s="1"/>
      <c r="B107" s="1"/>
      <c r="C107" s="1"/>
      <c r="D107" s="1"/>
      <c r="E107" s="1"/>
    </row>
    <row r="108" spans="1:5" ht="15.75" customHeight="1">
      <c r="A108" s="1"/>
      <c r="B108" s="1"/>
      <c r="C108" s="1"/>
      <c r="D108" s="1"/>
      <c r="E108" s="1"/>
    </row>
    <row r="109" spans="1:5" ht="15.75" customHeight="1">
      <c r="A109" s="1"/>
      <c r="B109" s="1"/>
      <c r="C109" s="1"/>
      <c r="D109" s="1"/>
      <c r="E109" s="1"/>
    </row>
    <row r="110" spans="1:5" ht="15.75" customHeight="1">
      <c r="A110" s="1"/>
      <c r="B110" s="1"/>
      <c r="C110" s="1"/>
      <c r="D110" s="1"/>
      <c r="E110" s="1"/>
    </row>
    <row r="111" spans="1:5" ht="15.75" customHeight="1">
      <c r="A111" s="1"/>
      <c r="B111" s="1"/>
      <c r="C111" s="1"/>
      <c r="D111" s="1"/>
      <c r="E111" s="1"/>
    </row>
    <row r="112" spans="1:5" ht="15.75" customHeight="1">
      <c r="A112" s="1"/>
      <c r="B112" s="1"/>
      <c r="C112" s="1"/>
      <c r="D112" s="1"/>
      <c r="E112" s="1"/>
    </row>
    <row r="113" spans="1:5" ht="15.75" customHeight="1">
      <c r="A113" s="1"/>
      <c r="B113" s="1"/>
      <c r="C113" s="1"/>
      <c r="D113" s="1"/>
      <c r="E113" s="1"/>
    </row>
    <row r="114" spans="1:5" ht="15.75" customHeight="1">
      <c r="A114" s="1"/>
      <c r="B114" s="1"/>
      <c r="C114" s="1"/>
      <c r="D114" s="1"/>
      <c r="E114" s="1"/>
    </row>
    <row r="115" spans="1:5" ht="15.75" customHeight="1">
      <c r="A115" s="1"/>
      <c r="B115" s="1"/>
      <c r="C115" s="1"/>
      <c r="D115" s="1"/>
      <c r="E115" s="1"/>
    </row>
    <row r="116" spans="1:5" ht="15.75" customHeight="1">
      <c r="A116" s="1"/>
      <c r="B116" s="1"/>
      <c r="C116" s="1"/>
      <c r="D116" s="1"/>
      <c r="E116" s="1"/>
    </row>
    <row r="117" spans="1:5" ht="15.75" customHeight="1">
      <c r="A117" s="1"/>
      <c r="B117" s="1"/>
      <c r="C117" s="1"/>
      <c r="D117" s="1"/>
      <c r="E117" s="1"/>
    </row>
    <row r="118" spans="1:5" ht="15.75" customHeight="1">
      <c r="A118" s="1"/>
      <c r="B118" s="1"/>
      <c r="C118" s="1"/>
      <c r="D118" s="1"/>
      <c r="E118" s="1"/>
    </row>
    <row r="119" spans="1:5" ht="15.75" customHeight="1">
      <c r="A119" s="1"/>
      <c r="B119" s="1"/>
      <c r="C119" s="1"/>
      <c r="D119" s="1"/>
      <c r="E119" s="1"/>
    </row>
    <row r="120" spans="1:5" ht="15.75" customHeight="1">
      <c r="A120" s="1"/>
      <c r="B120" s="1"/>
      <c r="C120" s="1"/>
      <c r="D120" s="1"/>
      <c r="E120" s="1"/>
    </row>
    <row r="121" spans="1:5" ht="15.75" customHeight="1">
      <c r="A121" s="1"/>
      <c r="B121" s="1"/>
      <c r="C121" s="1"/>
      <c r="D121" s="1"/>
      <c r="E121" s="1"/>
    </row>
    <row r="122" spans="1:5" ht="15.75" customHeight="1">
      <c r="A122" s="1"/>
      <c r="B122" s="1"/>
      <c r="C122" s="1"/>
      <c r="D122" s="1"/>
      <c r="E122" s="1"/>
    </row>
    <row r="123" spans="1:5" ht="15.75" customHeight="1">
      <c r="A123" s="1"/>
      <c r="B123" s="1"/>
      <c r="C123" s="1"/>
      <c r="D123" s="1"/>
      <c r="E123" s="1"/>
    </row>
    <row r="124" spans="1:5" ht="15.75" customHeight="1">
      <c r="A124" s="1"/>
      <c r="B124" s="1"/>
      <c r="C124" s="1"/>
      <c r="D124" s="1"/>
      <c r="E124" s="1"/>
    </row>
    <row r="125" spans="1:5" ht="15.75" customHeight="1">
      <c r="A125" s="1"/>
      <c r="B125" s="1"/>
      <c r="C125" s="1"/>
      <c r="D125" s="1"/>
      <c r="E125" s="1"/>
    </row>
    <row r="126" spans="1:5" ht="15.75" customHeight="1">
      <c r="A126" s="1"/>
      <c r="B126" s="1"/>
      <c r="C126" s="1"/>
      <c r="D126" s="1"/>
      <c r="E126" s="1"/>
    </row>
    <row r="127" spans="1:5" ht="15.75" customHeight="1">
      <c r="A127" s="1"/>
      <c r="B127" s="1"/>
      <c r="C127" s="1"/>
      <c r="D127" s="1"/>
      <c r="E127" s="1"/>
    </row>
    <row r="128" spans="1:5" ht="15.75" customHeight="1">
      <c r="A128" s="1"/>
      <c r="B128" s="1"/>
      <c r="C128" s="1"/>
      <c r="D128" s="1"/>
      <c r="E128" s="1"/>
    </row>
    <row r="129" spans="1:5" ht="15.75" customHeight="1">
      <c r="A129" s="1"/>
      <c r="B129" s="1"/>
      <c r="C129" s="1"/>
      <c r="D129" s="1"/>
      <c r="E129" s="1"/>
    </row>
    <row r="130" spans="1:5" ht="15.75" customHeight="1">
      <c r="A130" s="1"/>
      <c r="B130" s="1"/>
      <c r="C130" s="1"/>
      <c r="D130" s="1"/>
      <c r="E130" s="1"/>
    </row>
    <row r="131" spans="1:5" ht="15.75" customHeight="1">
      <c r="A131" s="1"/>
      <c r="B131" s="1"/>
      <c r="C131" s="1"/>
      <c r="D131" s="1"/>
      <c r="E131" s="1"/>
    </row>
    <row r="132" spans="1:5" ht="15.75" customHeight="1">
      <c r="A132" s="1"/>
      <c r="B132" s="1"/>
      <c r="C132" s="1"/>
      <c r="D132" s="1"/>
      <c r="E132" s="1"/>
    </row>
    <row r="133" spans="1:5" ht="15.75" customHeight="1">
      <c r="A133" s="1"/>
      <c r="B133" s="1"/>
      <c r="C133" s="1"/>
      <c r="D133" s="1"/>
      <c r="E133" s="1"/>
    </row>
    <row r="134" spans="1:5" ht="15.75" customHeight="1">
      <c r="A134" s="1"/>
      <c r="B134" s="1"/>
      <c r="C134" s="1"/>
      <c r="D134" s="1"/>
      <c r="E134" s="1"/>
    </row>
    <row r="135" spans="1:5" ht="15.75" customHeight="1">
      <c r="A135" s="1"/>
      <c r="B135" s="1"/>
      <c r="C135" s="1"/>
      <c r="D135" s="1"/>
      <c r="E135" s="1"/>
    </row>
    <row r="136" spans="1:5" ht="15.75" customHeight="1">
      <c r="A136" s="1"/>
      <c r="B136" s="1"/>
      <c r="C136" s="1"/>
      <c r="D136" s="1"/>
      <c r="E136" s="1"/>
    </row>
    <row r="137" spans="1:5" ht="15.75" customHeight="1">
      <c r="A137" s="1"/>
      <c r="B137" s="1"/>
      <c r="C137" s="1"/>
      <c r="D137" s="1"/>
      <c r="E137" s="1"/>
    </row>
    <row r="138" spans="1:5" ht="15.75" customHeight="1">
      <c r="A138" s="1"/>
      <c r="B138" s="1"/>
      <c r="C138" s="1"/>
      <c r="D138" s="1"/>
      <c r="E138" s="1"/>
    </row>
    <row r="139" spans="1:5" ht="15.75" customHeight="1">
      <c r="A139" s="1"/>
      <c r="B139" s="1"/>
      <c r="C139" s="1"/>
      <c r="D139" s="1"/>
      <c r="E139" s="1"/>
    </row>
    <row r="140" spans="1:5" ht="15.75" customHeight="1">
      <c r="A140" s="1"/>
      <c r="B140" s="1"/>
      <c r="C140" s="1"/>
      <c r="D140" s="1"/>
      <c r="E140" s="1"/>
    </row>
    <row r="141" spans="1:5" ht="15.75" customHeight="1">
      <c r="A141" s="1"/>
      <c r="B141" s="1"/>
      <c r="C141" s="1"/>
      <c r="D141" s="1"/>
      <c r="E141" s="1"/>
    </row>
    <row r="142" spans="1:5" ht="15.75" customHeight="1">
      <c r="A142" s="1"/>
      <c r="B142" s="1"/>
      <c r="C142" s="1"/>
      <c r="D142" s="1"/>
      <c r="E142" s="1"/>
    </row>
    <row r="143" spans="1:5" ht="15.75" customHeight="1">
      <c r="A143" s="1"/>
      <c r="B143" s="1"/>
      <c r="C143" s="1"/>
      <c r="D143" s="1"/>
      <c r="E143" s="1"/>
    </row>
    <row r="144" spans="1:5" ht="15.75" customHeight="1">
      <c r="A144" s="1"/>
      <c r="B144" s="1"/>
      <c r="C144" s="1"/>
      <c r="D144" s="1"/>
      <c r="E144" s="1"/>
    </row>
    <row r="145" spans="1:5" ht="15.75" customHeight="1">
      <c r="A145" s="1"/>
      <c r="B145" s="1"/>
      <c r="C145" s="1"/>
      <c r="D145" s="1"/>
      <c r="E145" s="1"/>
    </row>
    <row r="146" spans="1:5" ht="15.75" customHeight="1">
      <c r="A146" s="1"/>
      <c r="B146" s="1"/>
      <c r="C146" s="1"/>
      <c r="D146" s="1"/>
      <c r="E146" s="1"/>
    </row>
    <row r="147" spans="1:5" ht="15.75" customHeight="1">
      <c r="A147" s="1"/>
      <c r="B147" s="1"/>
      <c r="C147" s="1"/>
      <c r="D147" s="1"/>
      <c r="E147" s="1"/>
    </row>
    <row r="148" spans="1:5" ht="15.75" customHeight="1">
      <c r="A148" s="1"/>
      <c r="B148" s="1"/>
      <c r="C148" s="1"/>
      <c r="D148" s="1"/>
      <c r="E148" s="1"/>
    </row>
    <row r="149" spans="1:5" ht="15.75" customHeight="1">
      <c r="A149" s="1"/>
      <c r="B149" s="1"/>
      <c r="C149" s="1"/>
      <c r="D149" s="1"/>
      <c r="E149" s="1"/>
    </row>
    <row r="150" spans="1:5" ht="15.75" customHeight="1">
      <c r="A150" s="1"/>
      <c r="B150" s="1"/>
      <c r="C150" s="1"/>
      <c r="D150" s="1"/>
      <c r="E150" s="1"/>
    </row>
    <row r="151" spans="1:5" ht="15.75" customHeight="1">
      <c r="A151" s="1"/>
      <c r="B151" s="1"/>
      <c r="C151" s="1"/>
      <c r="D151" s="1"/>
      <c r="E151" s="1"/>
    </row>
    <row r="152" spans="1:5" ht="15.75" customHeight="1">
      <c r="A152" s="1"/>
      <c r="B152" s="1"/>
      <c r="C152" s="1"/>
      <c r="D152" s="1"/>
      <c r="E152" s="1"/>
    </row>
    <row r="153" spans="1:5" ht="15.75" customHeight="1">
      <c r="A153" s="1"/>
      <c r="B153" s="1"/>
      <c r="C153" s="1"/>
      <c r="D153" s="1"/>
      <c r="E153" s="1"/>
    </row>
    <row r="154" spans="1:5" ht="15.75" customHeight="1">
      <c r="A154" s="1"/>
      <c r="B154" s="1"/>
      <c r="C154" s="1"/>
      <c r="D154" s="1"/>
      <c r="E154" s="1"/>
    </row>
    <row r="155" spans="1:5" ht="15.75" customHeight="1">
      <c r="A155" s="1"/>
      <c r="B155" s="1"/>
      <c r="C155" s="1"/>
      <c r="D155" s="1"/>
      <c r="E155" s="1"/>
    </row>
    <row r="156" spans="1:5" ht="15.75" customHeight="1">
      <c r="A156" s="1"/>
      <c r="B156" s="1"/>
      <c r="C156" s="1"/>
      <c r="D156" s="1"/>
      <c r="E156" s="1"/>
    </row>
    <row r="157" spans="1:5" ht="15.75" customHeight="1">
      <c r="A157" s="1"/>
      <c r="B157" s="1"/>
      <c r="C157" s="1"/>
      <c r="D157" s="1"/>
      <c r="E157" s="1"/>
    </row>
    <row r="158" spans="1:5" ht="15.75" customHeight="1">
      <c r="A158" s="1"/>
      <c r="B158" s="1"/>
      <c r="C158" s="1"/>
      <c r="D158" s="1"/>
      <c r="E158" s="1"/>
    </row>
    <row r="159" spans="1:5" ht="15.75" customHeight="1">
      <c r="A159" s="1"/>
      <c r="B159" s="1"/>
      <c r="C159" s="1"/>
      <c r="D159" s="1"/>
      <c r="E159" s="1"/>
    </row>
    <row r="160" spans="1:5" ht="15.75" customHeight="1">
      <c r="A160" s="1"/>
      <c r="B160" s="1"/>
      <c r="C160" s="1"/>
      <c r="D160" s="1"/>
      <c r="E160" s="1"/>
    </row>
    <row r="161" spans="1:5" ht="15.75" customHeight="1">
      <c r="A161" s="1"/>
      <c r="B161" s="1"/>
      <c r="C161" s="1"/>
      <c r="D161" s="1"/>
      <c r="E161" s="1"/>
    </row>
    <row r="162" spans="1:5" ht="15.75" customHeight="1">
      <c r="A162" s="1"/>
      <c r="B162" s="1"/>
      <c r="C162" s="1"/>
      <c r="D162" s="1"/>
      <c r="E162" s="1"/>
    </row>
    <row r="163" spans="1:5" ht="15.75" customHeight="1">
      <c r="A163" s="1"/>
      <c r="B163" s="1"/>
      <c r="C163" s="1"/>
      <c r="D163" s="1"/>
      <c r="E163" s="1"/>
    </row>
    <row r="164" spans="1:5" ht="15.75" customHeight="1">
      <c r="A164" s="1"/>
      <c r="B164" s="1"/>
      <c r="C164" s="1"/>
      <c r="D164" s="1"/>
      <c r="E164" s="1"/>
    </row>
    <row r="165" spans="1:5" ht="15.75" customHeight="1">
      <c r="A165" s="1"/>
      <c r="B165" s="1"/>
      <c r="C165" s="1"/>
      <c r="D165" s="1"/>
      <c r="E165" s="1"/>
    </row>
    <row r="166" spans="1:5" ht="15.75" customHeight="1">
      <c r="A166" s="1"/>
      <c r="B166" s="1"/>
      <c r="C166" s="1"/>
      <c r="D166" s="1"/>
      <c r="E166" s="1"/>
    </row>
    <row r="167" spans="1:5" ht="15.75" customHeight="1">
      <c r="A167" s="1"/>
      <c r="B167" s="1"/>
      <c r="C167" s="1"/>
      <c r="D167" s="1"/>
      <c r="E167" s="1"/>
    </row>
    <row r="168" spans="1:5" ht="15.75" customHeight="1">
      <c r="A168" s="1"/>
      <c r="B168" s="1"/>
      <c r="C168" s="1"/>
      <c r="D168" s="1"/>
      <c r="E168" s="1"/>
    </row>
    <row r="169" spans="1:5" ht="15.75" customHeight="1">
      <c r="A169" s="1"/>
      <c r="B169" s="1"/>
      <c r="C169" s="1"/>
      <c r="D169" s="1"/>
      <c r="E169" s="1"/>
    </row>
    <row r="170" spans="1:5" ht="15.75" customHeight="1">
      <c r="A170" s="1"/>
      <c r="B170" s="1"/>
      <c r="C170" s="1"/>
      <c r="D170" s="1"/>
      <c r="E170" s="1"/>
    </row>
    <row r="171" spans="1:5" ht="15.75" customHeight="1">
      <c r="A171" s="1"/>
      <c r="B171" s="1"/>
      <c r="C171" s="1"/>
      <c r="D171" s="1"/>
      <c r="E171" s="1"/>
    </row>
    <row r="172" spans="1:5" ht="15.75" customHeight="1">
      <c r="A172" s="1"/>
      <c r="B172" s="1"/>
      <c r="C172" s="1"/>
      <c r="D172" s="1"/>
      <c r="E172" s="1"/>
    </row>
    <row r="173" spans="1:5" ht="15.75" customHeight="1">
      <c r="A173" s="1"/>
      <c r="B173" s="1"/>
      <c r="C173" s="1"/>
      <c r="D173" s="1"/>
      <c r="E173" s="1"/>
    </row>
    <row r="174" spans="1:5" ht="15.75" customHeight="1">
      <c r="A174" s="1"/>
      <c r="B174" s="1"/>
      <c r="C174" s="1"/>
      <c r="D174" s="1"/>
      <c r="E174" s="1"/>
    </row>
    <row r="175" spans="1:5" ht="15.75" customHeight="1">
      <c r="A175" s="1"/>
      <c r="B175" s="1"/>
      <c r="C175" s="1"/>
      <c r="D175" s="1"/>
      <c r="E175" s="1"/>
    </row>
    <row r="176" spans="1:5" ht="15.75" customHeight="1">
      <c r="A176" s="1"/>
      <c r="B176" s="1"/>
      <c r="C176" s="1"/>
      <c r="D176" s="1"/>
      <c r="E176" s="1"/>
    </row>
    <row r="177" spans="1:5" ht="15.75" customHeight="1">
      <c r="A177" s="1"/>
      <c r="B177" s="1"/>
      <c r="C177" s="1"/>
      <c r="D177" s="1"/>
      <c r="E177" s="1"/>
    </row>
    <row r="178" spans="1:5" ht="15.75" customHeight="1">
      <c r="A178" s="1"/>
      <c r="B178" s="1"/>
      <c r="C178" s="1"/>
      <c r="D178" s="1"/>
      <c r="E178" s="1"/>
    </row>
    <row r="179" spans="1:5" ht="15.75" customHeight="1">
      <c r="A179" s="1"/>
      <c r="B179" s="1"/>
      <c r="C179" s="1"/>
      <c r="D179" s="1"/>
      <c r="E179" s="1"/>
    </row>
    <row r="180" spans="1:5" ht="15.75" customHeight="1">
      <c r="A180" s="1"/>
      <c r="B180" s="1"/>
      <c r="C180" s="1"/>
      <c r="D180" s="1"/>
      <c r="E180" s="1"/>
    </row>
    <row r="181" spans="1:5" ht="15.75" customHeight="1">
      <c r="A181" s="1"/>
      <c r="B181" s="1"/>
      <c r="C181" s="1"/>
      <c r="D181" s="1"/>
      <c r="E181" s="1"/>
    </row>
    <row r="182" spans="1:5" ht="15.75" customHeight="1">
      <c r="A182" s="1"/>
      <c r="B182" s="1"/>
      <c r="C182" s="1"/>
      <c r="D182" s="1"/>
      <c r="E182" s="1"/>
    </row>
    <row r="183" spans="1:5" ht="15.75" customHeight="1">
      <c r="A183" s="1"/>
      <c r="B183" s="1"/>
      <c r="C183" s="1"/>
      <c r="D183" s="1"/>
      <c r="E183" s="1"/>
    </row>
    <row r="184" spans="1:5" ht="15.75" customHeight="1">
      <c r="A184" s="1"/>
      <c r="B184" s="1"/>
      <c r="C184" s="1"/>
      <c r="D184" s="1"/>
      <c r="E184" s="1"/>
    </row>
    <row r="185" spans="1:5" ht="15.75" customHeight="1">
      <c r="A185" s="1"/>
      <c r="B185" s="1"/>
      <c r="C185" s="1"/>
      <c r="D185" s="1"/>
      <c r="E185" s="1"/>
    </row>
    <row r="186" spans="1:5" ht="15.75" customHeight="1">
      <c r="A186" s="1"/>
      <c r="B186" s="1"/>
      <c r="C186" s="1"/>
      <c r="D186" s="1"/>
      <c r="E186" s="1"/>
    </row>
    <row r="187" spans="1:5" ht="15.75" customHeight="1">
      <c r="A187" s="1"/>
      <c r="B187" s="1"/>
      <c r="C187" s="1"/>
      <c r="D187" s="1"/>
      <c r="E187" s="1"/>
    </row>
    <row r="188" spans="1:5" ht="15.75" customHeight="1">
      <c r="A188" s="1"/>
      <c r="B188" s="1"/>
      <c r="C188" s="1"/>
      <c r="D188" s="1"/>
      <c r="E188" s="1"/>
    </row>
    <row r="189" spans="1:5" ht="15.75" customHeight="1">
      <c r="A189" s="1"/>
      <c r="B189" s="1"/>
      <c r="C189" s="1"/>
      <c r="D189" s="1"/>
      <c r="E189" s="1"/>
    </row>
    <row r="190" spans="1:5" ht="15.75" customHeight="1">
      <c r="A190" s="1"/>
      <c r="B190" s="1"/>
      <c r="C190" s="1"/>
      <c r="D190" s="1"/>
      <c r="E190" s="1"/>
    </row>
    <row r="191" spans="1:5" ht="15.75" customHeight="1">
      <c r="A191" s="1"/>
      <c r="B191" s="1"/>
      <c r="C191" s="1"/>
      <c r="D191" s="1"/>
      <c r="E191" s="1"/>
    </row>
    <row r="192" spans="1:5" ht="15.75" customHeight="1">
      <c r="A192" s="1"/>
      <c r="B192" s="1"/>
      <c r="C192" s="1"/>
      <c r="D192" s="1"/>
      <c r="E192" s="1"/>
    </row>
    <row r="193" spans="1:5" ht="15.75" customHeight="1">
      <c r="A193" s="1"/>
      <c r="B193" s="1"/>
      <c r="C193" s="1"/>
      <c r="D193" s="1"/>
      <c r="E193" s="1"/>
    </row>
    <row r="194" spans="1:5" ht="15.75" customHeight="1">
      <c r="A194" s="1"/>
      <c r="B194" s="1"/>
      <c r="C194" s="1"/>
      <c r="D194" s="1"/>
      <c r="E194" s="1"/>
    </row>
    <row r="195" spans="1:5" ht="15.75" customHeight="1">
      <c r="A195" s="1"/>
      <c r="B195" s="1"/>
      <c r="C195" s="1"/>
      <c r="D195" s="1"/>
      <c r="E195" s="1"/>
    </row>
    <row r="196" spans="1:5" ht="15.75" customHeight="1">
      <c r="A196" s="1"/>
      <c r="B196" s="1"/>
      <c r="C196" s="1"/>
      <c r="D196" s="1"/>
      <c r="E196" s="1"/>
    </row>
    <row r="197" spans="1:5" ht="15.75" customHeight="1">
      <c r="A197" s="1"/>
      <c r="B197" s="1"/>
      <c r="C197" s="1"/>
      <c r="D197" s="1"/>
      <c r="E197" s="1"/>
    </row>
    <row r="198" spans="1:5" ht="15.75" customHeight="1">
      <c r="A198" s="1"/>
      <c r="B198" s="1"/>
      <c r="C198" s="1"/>
      <c r="D198" s="1"/>
      <c r="E198" s="1"/>
    </row>
    <row r="199" spans="1:5" ht="15.75" customHeight="1">
      <c r="A199" s="1"/>
      <c r="B199" s="1"/>
      <c r="C199" s="1"/>
      <c r="D199" s="1"/>
      <c r="E199" s="1"/>
    </row>
    <row r="200" spans="1:5" ht="15.75" customHeight="1">
      <c r="A200" s="1"/>
      <c r="B200" s="1"/>
      <c r="C200" s="1"/>
      <c r="D200" s="1"/>
      <c r="E200" s="1"/>
    </row>
    <row r="201" spans="1:5" ht="15.75" customHeight="1">
      <c r="A201" s="1"/>
      <c r="B201" s="1"/>
      <c r="C201" s="1"/>
      <c r="D201" s="1"/>
      <c r="E201" s="1"/>
    </row>
    <row r="202" spans="1:5" ht="15.75" customHeight="1">
      <c r="A202" s="1"/>
      <c r="B202" s="1"/>
      <c r="C202" s="1"/>
      <c r="D202" s="1"/>
      <c r="E202" s="1"/>
    </row>
    <row r="203" spans="1:5" ht="15.75" customHeight="1">
      <c r="A203" s="1"/>
      <c r="B203" s="1"/>
      <c r="C203" s="1"/>
      <c r="D203" s="1"/>
      <c r="E203" s="1"/>
    </row>
    <row r="204" spans="1:5" ht="15.75" customHeight="1">
      <c r="A204" s="1"/>
      <c r="B204" s="1"/>
      <c r="C204" s="1"/>
      <c r="D204" s="1"/>
      <c r="E204" s="1"/>
    </row>
    <row r="205" spans="1:5" ht="15.75" customHeight="1">
      <c r="A205" s="1"/>
      <c r="B205" s="1"/>
      <c r="C205" s="1"/>
      <c r="D205" s="1"/>
      <c r="E205" s="1"/>
    </row>
    <row r="206" spans="1:5" ht="15.75" customHeight="1">
      <c r="A206" s="1"/>
      <c r="B206" s="1"/>
      <c r="C206" s="1"/>
      <c r="D206" s="1"/>
      <c r="E206" s="1"/>
    </row>
    <row r="207" spans="1:5" ht="15.75" customHeight="1">
      <c r="A207" s="1"/>
      <c r="B207" s="1"/>
      <c r="C207" s="1"/>
      <c r="D207" s="1"/>
      <c r="E207" s="1"/>
    </row>
    <row r="208" spans="1:5" ht="15.75" customHeight="1">
      <c r="A208" s="1"/>
      <c r="B208" s="1"/>
      <c r="C208" s="1"/>
      <c r="D208" s="1"/>
      <c r="E208" s="1"/>
    </row>
    <row r="209" spans="1:5" ht="15.75" customHeight="1">
      <c r="A209" s="1"/>
      <c r="B209" s="1"/>
      <c r="C209" s="1"/>
      <c r="D209" s="1"/>
      <c r="E209" s="1"/>
    </row>
    <row r="210" spans="1:5" ht="15.75" customHeight="1">
      <c r="A210" s="1"/>
      <c r="B210" s="1"/>
      <c r="C210" s="1"/>
      <c r="D210" s="1"/>
      <c r="E210" s="1"/>
    </row>
    <row r="211" spans="1:5" ht="15.75" customHeight="1">
      <c r="A211" s="1"/>
      <c r="B211" s="1"/>
      <c r="C211" s="1"/>
      <c r="D211" s="1"/>
      <c r="E211" s="1"/>
    </row>
    <row r="212" spans="1:5" ht="15.75" customHeight="1">
      <c r="A212" s="1"/>
      <c r="B212" s="1"/>
      <c r="C212" s="1"/>
      <c r="D212" s="1"/>
      <c r="E212" s="1"/>
    </row>
    <row r="213" spans="1:5" ht="15.75" customHeight="1">
      <c r="A213" s="1"/>
      <c r="B213" s="1"/>
      <c r="C213" s="1"/>
      <c r="D213" s="1"/>
      <c r="E213" s="1"/>
    </row>
    <row r="214" spans="1:5" ht="15.75" customHeight="1">
      <c r="A214" s="1"/>
      <c r="B214" s="1"/>
      <c r="C214" s="1"/>
      <c r="D214" s="1"/>
      <c r="E214" s="1"/>
    </row>
    <row r="215" spans="1:5" ht="15.75" customHeight="1">
      <c r="A215" s="1"/>
      <c r="B215" s="1"/>
      <c r="C215" s="1"/>
      <c r="D215" s="1"/>
      <c r="E215" s="1"/>
    </row>
    <row r="216" spans="1:5" ht="15.75" customHeight="1">
      <c r="A216" s="1"/>
      <c r="B216" s="1"/>
      <c r="C216" s="1"/>
      <c r="D216" s="1"/>
      <c r="E216" s="1"/>
    </row>
    <row r="217" spans="1:5" ht="15.75" customHeight="1">
      <c r="A217" s="1"/>
      <c r="B217" s="1"/>
      <c r="C217" s="1"/>
      <c r="D217" s="1"/>
      <c r="E217" s="1"/>
    </row>
    <row r="218" spans="1:5" ht="15.75" customHeight="1">
      <c r="A218" s="1"/>
      <c r="B218" s="1"/>
      <c r="C218" s="1"/>
      <c r="D218" s="1"/>
      <c r="E218" s="1"/>
    </row>
    <row r="219" spans="1:5" ht="15.75" customHeight="1">
      <c r="A219" s="1"/>
      <c r="B219" s="1"/>
      <c r="C219" s="1"/>
      <c r="D219" s="1"/>
      <c r="E219" s="1"/>
    </row>
    <row r="220" spans="1:5" ht="15.75" customHeight="1">
      <c r="A220" s="1"/>
      <c r="B220" s="1"/>
      <c r="C220" s="1"/>
      <c r="D220" s="1"/>
      <c r="E220" s="1"/>
    </row>
    <row r="221" spans="1:5" ht="15.75" customHeight="1">
      <c r="A221" s="1"/>
      <c r="B221" s="1"/>
      <c r="C221" s="1"/>
      <c r="D221" s="1"/>
      <c r="E221" s="1"/>
    </row>
    <row r="222" spans="1:5" ht="15.75" customHeight="1">
      <c r="A222" s="1"/>
      <c r="B222" s="1"/>
      <c r="C222" s="1"/>
      <c r="D222" s="1"/>
      <c r="E222" s="1"/>
    </row>
    <row r="223" spans="1:5" ht="15.75" customHeight="1">
      <c r="A223" s="1"/>
      <c r="B223" s="1"/>
      <c r="C223" s="1"/>
      <c r="D223" s="1"/>
      <c r="E223" s="1"/>
    </row>
    <row r="224" spans="1:5" ht="15.75" customHeight="1">
      <c r="A224" s="1"/>
      <c r="B224" s="1"/>
      <c r="C224" s="1"/>
      <c r="D224" s="1"/>
      <c r="E224" s="1"/>
    </row>
    <row r="225" spans="1:5" ht="15.75" customHeight="1">
      <c r="A225" s="1"/>
      <c r="B225" s="1"/>
      <c r="C225" s="1"/>
      <c r="D225" s="1"/>
      <c r="E225" s="1"/>
    </row>
    <row r="226" spans="1:5" ht="15.75" customHeight="1">
      <c r="A226" s="1"/>
      <c r="B226" s="1"/>
      <c r="C226" s="1"/>
      <c r="D226" s="1"/>
      <c r="E226" s="1"/>
    </row>
    <row r="227" spans="1:5" ht="15.75" customHeight="1">
      <c r="A227" s="1"/>
      <c r="B227" s="1"/>
      <c r="C227" s="1"/>
      <c r="D227" s="1"/>
      <c r="E227" s="1"/>
    </row>
    <row r="228" spans="1:5" ht="15.75" customHeight="1">
      <c r="A228" s="1"/>
      <c r="B228" s="1"/>
      <c r="C228" s="1"/>
      <c r="D228" s="1"/>
      <c r="E228" s="1"/>
    </row>
    <row r="229" spans="1:5" ht="15.75" customHeight="1">
      <c r="A229" s="1"/>
      <c r="B229" s="1"/>
      <c r="C229" s="1"/>
      <c r="D229" s="1"/>
      <c r="E229" s="1"/>
    </row>
    <row r="230" spans="1:5" ht="15.75" customHeight="1">
      <c r="A230" s="1"/>
      <c r="B230" s="1"/>
      <c r="C230" s="1"/>
      <c r="D230" s="1"/>
      <c r="E230" s="1"/>
    </row>
    <row r="231" spans="1:5" ht="15.75" customHeight="1">
      <c r="A231" s="1"/>
      <c r="B231" s="1"/>
      <c r="C231" s="1"/>
      <c r="D231" s="1"/>
      <c r="E231" s="1"/>
    </row>
    <row r="232" spans="1:5" ht="15.75" customHeight="1">
      <c r="A232" s="1"/>
      <c r="B232" s="1"/>
      <c r="C232" s="1"/>
      <c r="D232" s="1"/>
      <c r="E232" s="1"/>
    </row>
    <row r="233" spans="1:5" ht="15.75" customHeight="1">
      <c r="A233" s="1"/>
      <c r="B233" s="1"/>
      <c r="C233" s="1"/>
      <c r="D233" s="1"/>
      <c r="E233" s="1"/>
    </row>
    <row r="234" spans="1:5" ht="15.75" customHeight="1">
      <c r="A234" s="1"/>
      <c r="B234" s="1"/>
      <c r="C234" s="1"/>
      <c r="D234" s="1"/>
      <c r="E234" s="1"/>
    </row>
    <row r="235" spans="1:5" ht="15.75" customHeight="1">
      <c r="A235" s="1"/>
      <c r="B235" s="1"/>
      <c r="C235" s="1"/>
      <c r="D235" s="1"/>
      <c r="E235" s="1"/>
    </row>
    <row r="236" spans="1:5" ht="15.75" customHeight="1">
      <c r="A236" s="1"/>
      <c r="B236" s="1"/>
      <c r="C236" s="1"/>
      <c r="D236" s="1"/>
      <c r="E236" s="1"/>
    </row>
    <row r="237" spans="1:5" ht="15.75" customHeight="1">
      <c r="A237" s="1"/>
      <c r="B237" s="1"/>
      <c r="C237" s="1"/>
      <c r="D237" s="1"/>
      <c r="E237" s="1"/>
    </row>
    <row r="238" spans="1:5" ht="15.75" customHeight="1">
      <c r="A238" s="1"/>
      <c r="B238" s="1"/>
      <c r="C238" s="1"/>
      <c r="D238" s="1"/>
      <c r="E238" s="1"/>
    </row>
    <row r="239" spans="1:5" ht="15.75" customHeight="1">
      <c r="A239" s="1"/>
      <c r="B239" s="1"/>
      <c r="C239" s="1"/>
      <c r="D239" s="1"/>
      <c r="E239" s="1"/>
    </row>
    <row r="240" spans="1:5" ht="15.75" customHeight="1">
      <c r="A240" s="1"/>
      <c r="B240" s="1"/>
      <c r="C240" s="1"/>
      <c r="D240" s="1"/>
      <c r="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9:D29"/>
    <mergeCell ref="B35:D35"/>
    <mergeCell ref="B1:D1"/>
    <mergeCell ref="B3:D3"/>
    <mergeCell ref="B8:D8"/>
    <mergeCell ref="B16:D16"/>
    <mergeCell ref="B21:D2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3" customWidth="1"/>
    <col min="2" max="2" width="22" customWidth="1"/>
    <col min="3" max="8" width="18" customWidth="1"/>
    <col min="9" max="9" width="8.7109375" customWidth="1"/>
  </cols>
  <sheetData>
    <row r="1" spans="1:9" ht="39.75" customHeight="1">
      <c r="A1" s="1"/>
      <c r="B1" s="65" t="s">
        <v>88</v>
      </c>
      <c r="C1" s="60"/>
      <c r="D1" s="60"/>
      <c r="E1" s="60"/>
      <c r="F1" s="60"/>
      <c r="G1" s="60"/>
      <c r="H1" s="61"/>
      <c r="I1" s="1"/>
    </row>
    <row r="2" spans="1:9" ht="12" customHeight="1">
      <c r="A2" s="1"/>
      <c r="B2" s="66"/>
      <c r="C2" s="60"/>
      <c r="D2" s="60"/>
      <c r="E2" s="60"/>
      <c r="F2" s="60"/>
      <c r="G2" s="60"/>
      <c r="H2" s="61"/>
      <c r="I2" s="1"/>
    </row>
    <row r="3" spans="1:9" ht="18" customHeight="1">
      <c r="A3" s="1"/>
      <c r="B3" s="7" t="s">
        <v>89</v>
      </c>
      <c r="C3" s="67"/>
      <c r="D3" s="63"/>
      <c r="E3" s="68"/>
      <c r="F3" s="69" t="s">
        <v>90</v>
      </c>
      <c r="G3" s="60"/>
      <c r="H3" s="61"/>
      <c r="I3" s="1"/>
    </row>
    <row r="4" spans="1:9" ht="18" customHeight="1">
      <c r="A4" s="1"/>
      <c r="B4" s="7" t="s">
        <v>91</v>
      </c>
      <c r="C4" s="67"/>
      <c r="D4" s="63"/>
      <c r="E4" s="68"/>
      <c r="F4" s="70" t="s">
        <v>92</v>
      </c>
      <c r="G4" s="68"/>
      <c r="H4" s="8">
        <f>'📊 Takeoff &amp; Quote'!Q7</f>
        <v>0</v>
      </c>
      <c r="I4" s="1"/>
    </row>
    <row r="5" spans="1:9" ht="18" customHeight="1">
      <c r="A5" s="1"/>
      <c r="B5" s="7" t="s">
        <v>93</v>
      </c>
      <c r="C5" s="67"/>
      <c r="D5" s="63"/>
      <c r="E5" s="68"/>
      <c r="F5" s="70" t="s">
        <v>94</v>
      </c>
      <c r="G5" s="68"/>
      <c r="H5" s="8">
        <f>'📊 Takeoff &amp; Quote'!Q8</f>
        <v>0</v>
      </c>
      <c r="I5" s="1"/>
    </row>
    <row r="6" spans="1:9" ht="18" customHeight="1">
      <c r="A6" s="1"/>
      <c r="B6" s="7" t="s">
        <v>95</v>
      </c>
      <c r="C6" s="67"/>
      <c r="D6" s="63"/>
      <c r="E6" s="68"/>
      <c r="F6" s="70" t="s">
        <v>96</v>
      </c>
      <c r="G6" s="68"/>
      <c r="H6" s="8">
        <f>'📊 Takeoff &amp; Quote'!Q9</f>
        <v>0</v>
      </c>
      <c r="I6" s="1"/>
    </row>
    <row r="7" spans="1:9" ht="18" customHeight="1">
      <c r="A7" s="1"/>
      <c r="B7" s="7" t="s">
        <v>97</v>
      </c>
      <c r="C7" s="71"/>
      <c r="D7" s="63"/>
      <c r="E7" s="68"/>
      <c r="F7" s="70" t="s">
        <v>98</v>
      </c>
      <c r="G7" s="68"/>
      <c r="H7" s="9">
        <f>'📊 Takeoff &amp; Quote'!Q10</f>
        <v>0</v>
      </c>
      <c r="I7" s="1"/>
    </row>
    <row r="8" spans="1:9" ht="18" customHeight="1">
      <c r="A8" s="1"/>
      <c r="B8" s="7" t="s">
        <v>99</v>
      </c>
      <c r="C8" s="67"/>
      <c r="D8" s="63"/>
      <c r="E8" s="68"/>
      <c r="F8" s="1"/>
      <c r="G8" s="1"/>
      <c r="H8" s="1"/>
      <c r="I8" s="1"/>
    </row>
    <row r="9" spans="1:9" ht="18" customHeight="1">
      <c r="A9" s="1"/>
      <c r="B9" s="7" t="s">
        <v>100</v>
      </c>
      <c r="C9" s="67"/>
      <c r="D9" s="63"/>
      <c r="E9" s="68"/>
      <c r="F9" s="72" t="s">
        <v>101</v>
      </c>
      <c r="G9" s="60"/>
      <c r="H9" s="61"/>
      <c r="I9" s="1"/>
    </row>
    <row r="10" spans="1:9" ht="18" customHeight="1">
      <c r="A10" s="1"/>
      <c r="B10" s="7" t="s">
        <v>102</v>
      </c>
      <c r="C10" s="67"/>
      <c r="D10" s="63"/>
      <c r="E10" s="68"/>
      <c r="F10" s="70" t="s">
        <v>103</v>
      </c>
      <c r="G10" s="68"/>
      <c r="H10" s="8">
        <f>'🔄 Reconcile P&amp;L'!G5</f>
        <v>0</v>
      </c>
      <c r="I10" s="1"/>
    </row>
    <row r="11" spans="1:9" ht="18" customHeight="1">
      <c r="A11" s="1"/>
      <c r="B11" s="7" t="s">
        <v>104</v>
      </c>
      <c r="C11" s="67"/>
      <c r="D11" s="63"/>
      <c r="E11" s="68"/>
      <c r="F11" s="70" t="s">
        <v>105</v>
      </c>
      <c r="G11" s="68"/>
      <c r="H11" s="8">
        <f>'🔄 Reconcile P&amp;L'!G6</f>
        <v>0</v>
      </c>
      <c r="I11" s="1"/>
    </row>
    <row r="12" spans="1:9" ht="18" customHeight="1">
      <c r="A12" s="1"/>
      <c r="B12" s="7" t="s">
        <v>106</v>
      </c>
      <c r="C12" s="67"/>
      <c r="D12" s="63"/>
      <c r="E12" s="68"/>
      <c r="F12" s="70" t="s">
        <v>107</v>
      </c>
      <c r="G12" s="68"/>
      <c r="H12" s="8">
        <f>'🔄 Reconcile P&amp;L'!G7</f>
        <v>0</v>
      </c>
      <c r="I12" s="1"/>
    </row>
    <row r="13" spans="1:9" ht="18" customHeight="1">
      <c r="A13" s="1"/>
      <c r="B13" s="1"/>
      <c r="C13" s="1"/>
      <c r="D13" s="1"/>
      <c r="E13" s="1"/>
      <c r="F13" s="70" t="s">
        <v>108</v>
      </c>
      <c r="G13" s="68"/>
      <c r="H13" s="9">
        <f>'🔄 Reconcile P&amp;L'!G8</f>
        <v>0</v>
      </c>
      <c r="I13" s="1"/>
    </row>
    <row r="14" spans="1:9" ht="18" customHeight="1">
      <c r="A14" s="1"/>
      <c r="B14" s="74" t="s">
        <v>109</v>
      </c>
      <c r="C14" s="60"/>
      <c r="D14" s="60"/>
      <c r="E14" s="60"/>
      <c r="F14" s="60"/>
      <c r="G14" s="60"/>
      <c r="H14" s="61"/>
      <c r="I14" s="1"/>
    </row>
    <row r="15" spans="1:9" ht="18" customHeight="1">
      <c r="A15" s="1"/>
      <c r="B15" s="10" t="s">
        <v>110</v>
      </c>
      <c r="C15" s="10" t="s">
        <v>111</v>
      </c>
      <c r="D15" s="10" t="s">
        <v>112</v>
      </c>
      <c r="E15" s="10" t="s">
        <v>113</v>
      </c>
      <c r="F15" s="10" t="s">
        <v>114</v>
      </c>
      <c r="G15" s="10" t="s">
        <v>115</v>
      </c>
      <c r="H15" s="10" t="s">
        <v>116</v>
      </c>
      <c r="I15" s="1"/>
    </row>
    <row r="16" spans="1:9" ht="18" customHeight="1">
      <c r="A16" s="1"/>
      <c r="B16" s="3" t="s">
        <v>117</v>
      </c>
      <c r="C16" s="11"/>
      <c r="D16" s="11"/>
      <c r="E16" s="12"/>
      <c r="F16" s="12"/>
      <c r="G16" s="13"/>
      <c r="H16" s="13"/>
      <c r="I16" s="1"/>
    </row>
    <row r="17" spans="1:9" ht="18" customHeight="1">
      <c r="A17" s="1"/>
      <c r="B17" s="3" t="s">
        <v>118</v>
      </c>
      <c r="C17" s="11"/>
      <c r="D17" s="11"/>
      <c r="E17" s="12"/>
      <c r="F17" s="12"/>
      <c r="G17" s="13"/>
      <c r="H17" s="13"/>
      <c r="I17" s="1"/>
    </row>
    <row r="18" spans="1:9" ht="18" customHeight="1">
      <c r="A18" s="1"/>
      <c r="B18" s="3" t="s">
        <v>119</v>
      </c>
      <c r="C18" s="11"/>
      <c r="D18" s="11"/>
      <c r="E18" s="12"/>
      <c r="F18" s="12"/>
      <c r="G18" s="13"/>
      <c r="H18" s="13"/>
      <c r="I18" s="1"/>
    </row>
    <row r="19" spans="1:9" ht="18" customHeight="1">
      <c r="A19" s="1"/>
      <c r="B19" s="3" t="s">
        <v>120</v>
      </c>
      <c r="C19" s="11"/>
      <c r="D19" s="11"/>
      <c r="E19" s="12"/>
      <c r="F19" s="12"/>
      <c r="G19" s="13"/>
      <c r="H19" s="13"/>
      <c r="I19" s="1"/>
    </row>
    <row r="20" spans="1:9" ht="18" customHeight="1">
      <c r="A20" s="1"/>
      <c r="B20" s="3" t="s">
        <v>121</v>
      </c>
      <c r="C20" s="11"/>
      <c r="D20" s="11"/>
      <c r="E20" s="12"/>
      <c r="F20" s="12"/>
      <c r="G20" s="13"/>
      <c r="H20" s="13"/>
      <c r="I20" s="1"/>
    </row>
    <row r="21" spans="1:9" ht="18" customHeight="1">
      <c r="A21" s="1"/>
      <c r="B21" s="3" t="s">
        <v>122</v>
      </c>
      <c r="C21" s="11"/>
      <c r="D21" s="11"/>
      <c r="E21" s="12"/>
      <c r="F21" s="12"/>
      <c r="G21" s="13"/>
      <c r="H21" s="13"/>
      <c r="I21" s="1"/>
    </row>
    <row r="22" spans="1:9" ht="18" customHeight="1">
      <c r="A22" s="1"/>
      <c r="B22" s="3" t="s">
        <v>123</v>
      </c>
      <c r="C22" s="11"/>
      <c r="D22" s="11"/>
      <c r="E22" s="12"/>
      <c r="F22" s="12"/>
      <c r="G22" s="13"/>
      <c r="H22" s="13"/>
      <c r="I22" s="1"/>
    </row>
    <row r="23" spans="1:9" ht="18" customHeight="1">
      <c r="A23" s="1"/>
      <c r="B23" s="74" t="s">
        <v>124</v>
      </c>
      <c r="C23" s="60"/>
      <c r="D23" s="60"/>
      <c r="E23" s="60"/>
      <c r="F23" s="60"/>
      <c r="G23" s="60"/>
      <c r="H23" s="61"/>
      <c r="I23" s="1"/>
    </row>
    <row r="24" spans="1:9" ht="19.5" customHeight="1">
      <c r="A24" s="1"/>
      <c r="B24" s="14" t="s">
        <v>125</v>
      </c>
      <c r="C24" s="73"/>
      <c r="D24" s="63"/>
      <c r="E24" s="63"/>
      <c r="F24" s="63"/>
      <c r="G24" s="63"/>
      <c r="H24" s="68"/>
      <c r="I24" s="1"/>
    </row>
    <row r="25" spans="1:9" ht="19.5" customHeight="1">
      <c r="A25" s="1"/>
      <c r="B25" s="14" t="s">
        <v>126</v>
      </c>
      <c r="C25" s="73"/>
      <c r="D25" s="63"/>
      <c r="E25" s="63"/>
      <c r="F25" s="63"/>
      <c r="G25" s="63"/>
      <c r="H25" s="68"/>
      <c r="I25" s="1"/>
    </row>
    <row r="26" spans="1:9" ht="19.5" customHeight="1">
      <c r="A26" s="1"/>
      <c r="B26" s="14" t="s">
        <v>127</v>
      </c>
      <c r="C26" s="73"/>
      <c r="D26" s="63"/>
      <c r="E26" s="63"/>
      <c r="F26" s="63"/>
      <c r="G26" s="63"/>
      <c r="H26" s="68"/>
      <c r="I26" s="1"/>
    </row>
    <row r="27" spans="1:9" ht="19.5" customHeight="1">
      <c r="A27" s="1"/>
      <c r="B27" s="14" t="s">
        <v>128</v>
      </c>
      <c r="C27" s="73"/>
      <c r="D27" s="63"/>
      <c r="E27" s="63"/>
      <c r="F27" s="63"/>
      <c r="G27" s="63"/>
      <c r="H27" s="68"/>
      <c r="I27" s="1"/>
    </row>
    <row r="28" spans="1:9" ht="19.5" customHeight="1">
      <c r="A28" s="1"/>
      <c r="B28" s="14" t="s">
        <v>129</v>
      </c>
      <c r="C28" s="73"/>
      <c r="D28" s="63"/>
      <c r="E28" s="63"/>
      <c r="F28" s="63"/>
      <c r="G28" s="63"/>
      <c r="H28" s="68"/>
      <c r="I28" s="1"/>
    </row>
    <row r="29" spans="1:9" ht="19.5" customHeight="1">
      <c r="A29" s="1"/>
      <c r="B29" s="14" t="s">
        <v>130</v>
      </c>
      <c r="C29" s="73"/>
      <c r="D29" s="63"/>
      <c r="E29" s="63"/>
      <c r="F29" s="63"/>
      <c r="G29" s="63"/>
      <c r="H29" s="68"/>
      <c r="I29" s="1"/>
    </row>
    <row r="30" spans="1:9" ht="15.75" customHeight="1">
      <c r="A30" s="1"/>
      <c r="B30" s="1"/>
      <c r="C30" s="1"/>
      <c r="D30" s="1"/>
      <c r="E30" s="1"/>
      <c r="F30" s="1"/>
      <c r="G30" s="1"/>
      <c r="H30" s="1"/>
      <c r="I30" s="1"/>
    </row>
    <row r="31" spans="1:9" ht="15.75" customHeight="1">
      <c r="A31" s="1"/>
      <c r="B31" s="1"/>
      <c r="C31" s="1"/>
      <c r="D31" s="1"/>
      <c r="E31" s="1"/>
      <c r="F31" s="1"/>
      <c r="G31" s="1"/>
      <c r="H31" s="1"/>
      <c r="I31" s="1"/>
    </row>
    <row r="32" spans="1:9" ht="15.75" customHeight="1">
      <c r="A32" s="1"/>
      <c r="B32" s="1"/>
      <c r="C32" s="1"/>
      <c r="D32" s="1"/>
      <c r="E32" s="1"/>
      <c r="F32" s="1"/>
      <c r="G32" s="1"/>
      <c r="H32" s="1"/>
      <c r="I32" s="1"/>
    </row>
    <row r="33" spans="1:9" ht="15.75" customHeight="1">
      <c r="A33" s="1"/>
      <c r="B33" s="1"/>
      <c r="C33" s="1"/>
      <c r="D33" s="1"/>
      <c r="E33" s="1"/>
      <c r="F33" s="1"/>
      <c r="G33" s="1"/>
      <c r="H33" s="1"/>
      <c r="I33" s="1"/>
    </row>
    <row r="34" spans="1:9" ht="15.75" customHeight="1">
      <c r="A34" s="1"/>
      <c r="B34" s="1"/>
      <c r="C34" s="1"/>
      <c r="D34" s="1"/>
      <c r="E34" s="1"/>
      <c r="F34" s="1"/>
      <c r="G34" s="1"/>
      <c r="H34" s="1"/>
      <c r="I34" s="1"/>
    </row>
    <row r="35" spans="1:9" ht="15.75" customHeight="1">
      <c r="A35" s="1"/>
      <c r="B35" s="1"/>
      <c r="C35" s="1"/>
      <c r="D35" s="1"/>
      <c r="E35" s="1"/>
      <c r="F35" s="1"/>
      <c r="G35" s="1"/>
      <c r="H35" s="1"/>
      <c r="I35" s="1"/>
    </row>
    <row r="36" spans="1:9" ht="15.75" customHeight="1">
      <c r="A36" s="1"/>
      <c r="B36" s="1"/>
      <c r="C36" s="1"/>
      <c r="D36" s="1"/>
      <c r="E36" s="1"/>
      <c r="F36" s="1"/>
      <c r="G36" s="1"/>
      <c r="H36" s="1"/>
      <c r="I36" s="1"/>
    </row>
    <row r="37" spans="1:9" ht="15.75" customHeight="1">
      <c r="A37" s="1"/>
      <c r="B37" s="1"/>
      <c r="C37" s="1"/>
      <c r="D37" s="1"/>
      <c r="E37" s="1"/>
      <c r="F37" s="1"/>
      <c r="G37" s="1"/>
      <c r="H37" s="1"/>
      <c r="I37" s="1"/>
    </row>
    <row r="38" spans="1:9" ht="15.75" customHeight="1">
      <c r="A38" s="1"/>
      <c r="B38" s="1"/>
      <c r="C38" s="1"/>
      <c r="D38" s="1"/>
      <c r="E38" s="1"/>
      <c r="F38" s="1"/>
      <c r="G38" s="1"/>
      <c r="H38" s="1"/>
      <c r="I38" s="1"/>
    </row>
    <row r="39" spans="1:9" ht="15.75" customHeight="1">
      <c r="A39" s="1"/>
      <c r="B39" s="1"/>
      <c r="C39" s="1"/>
      <c r="D39" s="1"/>
      <c r="E39" s="1"/>
      <c r="F39" s="1"/>
      <c r="G39" s="1"/>
      <c r="H39" s="1"/>
      <c r="I39" s="1"/>
    </row>
    <row r="40" spans="1:9" ht="15.75" customHeight="1">
      <c r="A40" s="1"/>
      <c r="B40" s="1"/>
      <c r="C40" s="1"/>
      <c r="D40" s="1"/>
      <c r="E40" s="1"/>
      <c r="F40" s="1"/>
      <c r="G40" s="1"/>
      <c r="H40" s="1"/>
      <c r="I40" s="1"/>
    </row>
    <row r="41" spans="1:9" ht="15.75" customHeight="1">
      <c r="A41" s="1"/>
      <c r="B41" s="1"/>
      <c r="C41" s="1"/>
      <c r="D41" s="1"/>
      <c r="E41" s="1"/>
      <c r="F41" s="1"/>
      <c r="G41" s="1"/>
      <c r="H41" s="1"/>
      <c r="I41" s="1"/>
    </row>
    <row r="42" spans="1:9" ht="15.75" customHeight="1">
      <c r="A42" s="1"/>
      <c r="B42" s="1"/>
      <c r="C42" s="1"/>
      <c r="D42" s="1"/>
      <c r="E42" s="1"/>
      <c r="F42" s="1"/>
      <c r="G42" s="1"/>
      <c r="H42" s="1"/>
      <c r="I42" s="1"/>
    </row>
    <row r="43" spans="1:9" ht="15.75" customHeight="1">
      <c r="A43" s="1"/>
      <c r="B43" s="1"/>
      <c r="C43" s="1"/>
      <c r="D43" s="1"/>
      <c r="E43" s="1"/>
      <c r="F43" s="1"/>
      <c r="G43" s="1"/>
      <c r="H43" s="1"/>
      <c r="I43" s="1"/>
    </row>
    <row r="44" spans="1:9" ht="15.75" customHeight="1">
      <c r="A44" s="1"/>
      <c r="B44" s="1"/>
      <c r="C44" s="1"/>
      <c r="D44" s="1"/>
      <c r="E44" s="1"/>
      <c r="F44" s="1"/>
      <c r="G44" s="1"/>
      <c r="H44" s="1"/>
      <c r="I44" s="1"/>
    </row>
    <row r="45" spans="1:9" ht="15.75" customHeight="1">
      <c r="A45" s="1"/>
      <c r="B45" s="1"/>
      <c r="C45" s="1"/>
      <c r="D45" s="1"/>
      <c r="E45" s="1"/>
      <c r="F45" s="1"/>
      <c r="G45" s="1"/>
      <c r="H45" s="1"/>
      <c r="I45" s="1"/>
    </row>
    <row r="46" spans="1:9" ht="15.75" customHeight="1">
      <c r="A46" s="1"/>
      <c r="B46" s="1"/>
      <c r="C46" s="1"/>
      <c r="D46" s="1"/>
      <c r="E46" s="1"/>
      <c r="F46" s="1"/>
      <c r="G46" s="1"/>
      <c r="H46" s="1"/>
      <c r="I46" s="1"/>
    </row>
    <row r="47" spans="1:9" ht="15.75" customHeight="1">
      <c r="A47" s="1"/>
      <c r="B47" s="1"/>
      <c r="C47" s="1"/>
      <c r="D47" s="1"/>
      <c r="E47" s="1"/>
      <c r="F47" s="1"/>
      <c r="G47" s="1"/>
      <c r="H47" s="1"/>
      <c r="I47" s="1"/>
    </row>
    <row r="48" spans="1:9" ht="15.75" customHeight="1">
      <c r="A48" s="1"/>
      <c r="B48" s="1"/>
      <c r="C48" s="1"/>
      <c r="D48" s="1"/>
      <c r="E48" s="1"/>
      <c r="F48" s="1"/>
      <c r="G48" s="1"/>
      <c r="H48" s="1"/>
      <c r="I48" s="1"/>
    </row>
    <row r="49" spans="1:9" ht="15.75" customHeight="1">
      <c r="A49" s="1"/>
      <c r="B49" s="1"/>
      <c r="C49" s="1"/>
      <c r="D49" s="1"/>
      <c r="E49" s="1"/>
      <c r="F49" s="1"/>
      <c r="G49" s="1"/>
      <c r="H49" s="1"/>
      <c r="I49" s="1"/>
    </row>
    <row r="50" spans="1:9" ht="15.75" customHeight="1">
      <c r="A50" s="1"/>
      <c r="B50" s="1"/>
      <c r="C50" s="1"/>
      <c r="D50" s="1"/>
      <c r="E50" s="1"/>
      <c r="F50" s="1"/>
      <c r="G50" s="1"/>
      <c r="H50" s="1"/>
      <c r="I50" s="1"/>
    </row>
    <row r="51" spans="1:9" ht="15.75" customHeight="1">
      <c r="A51" s="1"/>
      <c r="B51" s="1"/>
      <c r="C51" s="1"/>
      <c r="D51" s="1"/>
      <c r="E51" s="1"/>
      <c r="F51" s="1"/>
      <c r="G51" s="1"/>
      <c r="H51" s="1"/>
      <c r="I51" s="1"/>
    </row>
    <row r="52" spans="1:9" ht="15.75" customHeight="1">
      <c r="A52" s="1"/>
      <c r="B52" s="1"/>
      <c r="C52" s="1"/>
      <c r="D52" s="1"/>
      <c r="E52" s="1"/>
      <c r="F52" s="1"/>
      <c r="G52" s="1"/>
      <c r="H52" s="1"/>
      <c r="I52" s="1"/>
    </row>
    <row r="53" spans="1:9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spans="1:9" ht="15.75" customHeight="1">
      <c r="A54" s="1"/>
      <c r="B54" s="1"/>
      <c r="C54" s="1"/>
      <c r="D54" s="1"/>
      <c r="E54" s="1"/>
      <c r="F54" s="1"/>
      <c r="G54" s="1"/>
      <c r="H54" s="1"/>
      <c r="I54" s="1"/>
    </row>
    <row r="55" spans="1:9" ht="15.75" customHeight="1">
      <c r="A55" s="1"/>
      <c r="B55" s="1"/>
      <c r="C55" s="1"/>
      <c r="D55" s="1"/>
      <c r="E55" s="1"/>
      <c r="F55" s="1"/>
      <c r="G55" s="1"/>
      <c r="H55" s="1"/>
      <c r="I55" s="1"/>
    </row>
    <row r="56" spans="1:9" ht="15.75" customHeight="1">
      <c r="A56" s="1"/>
      <c r="B56" s="1"/>
      <c r="C56" s="1"/>
      <c r="D56" s="1"/>
      <c r="E56" s="1"/>
      <c r="F56" s="1"/>
      <c r="G56" s="1"/>
      <c r="H56" s="1"/>
      <c r="I56" s="1"/>
    </row>
    <row r="57" spans="1:9" ht="15.75" customHeight="1">
      <c r="A57" s="1"/>
      <c r="B57" s="1"/>
      <c r="C57" s="1"/>
      <c r="D57" s="1"/>
      <c r="E57" s="1"/>
      <c r="F57" s="1"/>
      <c r="G57" s="1"/>
      <c r="H57" s="1"/>
      <c r="I57" s="1"/>
    </row>
    <row r="58" spans="1:9" ht="15.75" customHeight="1">
      <c r="A58" s="1"/>
      <c r="B58" s="1"/>
      <c r="C58" s="1"/>
      <c r="D58" s="1"/>
      <c r="E58" s="1"/>
      <c r="F58" s="1"/>
      <c r="G58" s="1"/>
      <c r="H58" s="1"/>
      <c r="I58" s="1"/>
    </row>
    <row r="59" spans="1:9" ht="15.75" customHeight="1">
      <c r="A59" s="1"/>
      <c r="B59" s="1"/>
      <c r="C59" s="1"/>
      <c r="D59" s="1"/>
      <c r="E59" s="1"/>
      <c r="F59" s="1"/>
      <c r="G59" s="1"/>
      <c r="H59" s="1"/>
      <c r="I59" s="1"/>
    </row>
    <row r="60" spans="1:9" ht="15.75" customHeight="1">
      <c r="A60" s="1"/>
      <c r="B60" s="1"/>
      <c r="C60" s="1"/>
      <c r="D60" s="1"/>
      <c r="E60" s="1"/>
      <c r="F60" s="1"/>
      <c r="G60" s="1"/>
      <c r="H60" s="1"/>
      <c r="I60" s="1"/>
    </row>
    <row r="61" spans="1:9" ht="15.75" customHeight="1">
      <c r="A61" s="1"/>
      <c r="B61" s="1"/>
      <c r="C61" s="1"/>
      <c r="D61" s="1"/>
      <c r="E61" s="1"/>
      <c r="F61" s="1"/>
      <c r="G61" s="1"/>
      <c r="H61" s="1"/>
      <c r="I61" s="1"/>
    </row>
    <row r="62" spans="1:9" ht="15.75" customHeight="1">
      <c r="A62" s="1"/>
      <c r="B62" s="1"/>
      <c r="C62" s="1"/>
      <c r="D62" s="1"/>
      <c r="E62" s="1"/>
      <c r="F62" s="1"/>
      <c r="G62" s="1"/>
      <c r="H62" s="1"/>
      <c r="I62" s="1"/>
    </row>
    <row r="63" spans="1:9" ht="15.75" customHeight="1">
      <c r="A63" s="1"/>
      <c r="B63" s="1"/>
      <c r="C63" s="1"/>
      <c r="D63" s="1"/>
      <c r="E63" s="1"/>
      <c r="F63" s="1"/>
      <c r="G63" s="1"/>
      <c r="H63" s="1"/>
      <c r="I63" s="1"/>
    </row>
    <row r="64" spans="1:9" ht="15.75" customHeight="1">
      <c r="A64" s="1"/>
      <c r="B64" s="1"/>
      <c r="C64" s="1"/>
      <c r="D64" s="1"/>
      <c r="E64" s="1"/>
      <c r="F64" s="1"/>
      <c r="G64" s="1"/>
      <c r="H64" s="1"/>
      <c r="I64" s="1"/>
    </row>
    <row r="65" spans="1:9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spans="1:9" ht="15.75" customHeight="1">
      <c r="A66" s="1"/>
      <c r="B66" s="1"/>
      <c r="C66" s="1"/>
      <c r="D66" s="1"/>
      <c r="E66" s="1"/>
      <c r="F66" s="1"/>
      <c r="G66" s="1"/>
      <c r="H66" s="1"/>
      <c r="I66" s="1"/>
    </row>
    <row r="67" spans="1:9" ht="15.75" customHeight="1">
      <c r="A67" s="1"/>
      <c r="B67" s="1"/>
      <c r="C67" s="1"/>
      <c r="D67" s="1"/>
      <c r="E67" s="1"/>
      <c r="F67" s="1"/>
      <c r="G67" s="1"/>
      <c r="H67" s="1"/>
      <c r="I67" s="1"/>
    </row>
    <row r="68" spans="1:9" ht="15.75" customHeight="1">
      <c r="A68" s="1"/>
      <c r="B68" s="1"/>
      <c r="C68" s="1"/>
      <c r="D68" s="1"/>
      <c r="E68" s="1"/>
      <c r="F68" s="1"/>
      <c r="G68" s="1"/>
      <c r="H68" s="1"/>
      <c r="I68" s="1"/>
    </row>
    <row r="69" spans="1:9" ht="15.75" customHeight="1">
      <c r="A69" s="1"/>
      <c r="B69" s="1"/>
      <c r="C69" s="1"/>
      <c r="D69" s="1"/>
      <c r="E69" s="1"/>
      <c r="F69" s="1"/>
      <c r="G69" s="1"/>
      <c r="H69" s="1"/>
      <c r="I69" s="1"/>
    </row>
    <row r="70" spans="1:9" ht="15.75" customHeight="1">
      <c r="A70" s="1"/>
      <c r="B70" s="1"/>
      <c r="C70" s="1"/>
      <c r="D70" s="1"/>
      <c r="E70" s="1"/>
      <c r="F70" s="1"/>
      <c r="G70" s="1"/>
      <c r="H70" s="1"/>
      <c r="I70" s="1"/>
    </row>
    <row r="71" spans="1:9" ht="15.75" customHeight="1">
      <c r="A71" s="1"/>
      <c r="B71" s="1"/>
      <c r="C71" s="1"/>
      <c r="D71" s="1"/>
      <c r="E71" s="1"/>
      <c r="F71" s="1"/>
      <c r="G71" s="1"/>
      <c r="H71" s="1"/>
      <c r="I71" s="1"/>
    </row>
    <row r="72" spans="1:9" ht="15.75" customHeight="1">
      <c r="A72" s="1"/>
      <c r="B72" s="1"/>
      <c r="C72" s="1"/>
      <c r="D72" s="1"/>
      <c r="E72" s="1"/>
      <c r="F72" s="1"/>
      <c r="G72" s="1"/>
      <c r="H72" s="1"/>
      <c r="I72" s="1"/>
    </row>
    <row r="73" spans="1:9" ht="15.75" customHeight="1">
      <c r="A73" s="1"/>
      <c r="B73" s="1"/>
      <c r="C73" s="1"/>
      <c r="D73" s="1"/>
      <c r="E73" s="1"/>
      <c r="F73" s="1"/>
      <c r="G73" s="1"/>
      <c r="H73" s="1"/>
      <c r="I73" s="1"/>
    </row>
    <row r="74" spans="1:9" ht="15.75" customHeight="1">
      <c r="A74" s="1"/>
      <c r="B74" s="1"/>
      <c r="C74" s="1"/>
      <c r="D74" s="1"/>
      <c r="E74" s="1"/>
      <c r="F74" s="1"/>
      <c r="G74" s="1"/>
      <c r="H74" s="1"/>
      <c r="I74" s="1"/>
    </row>
    <row r="75" spans="1:9" ht="15.75" customHeight="1">
      <c r="A75" s="1"/>
      <c r="B75" s="1"/>
      <c r="C75" s="1"/>
      <c r="D75" s="1"/>
      <c r="E75" s="1"/>
      <c r="F75" s="1"/>
      <c r="G75" s="1"/>
      <c r="H75" s="1"/>
      <c r="I75" s="1"/>
    </row>
    <row r="76" spans="1:9" ht="15.75" customHeight="1">
      <c r="A76" s="1"/>
      <c r="B76" s="1"/>
      <c r="C76" s="1"/>
      <c r="D76" s="1"/>
      <c r="E76" s="1"/>
      <c r="F76" s="1"/>
      <c r="G76" s="1"/>
      <c r="H76" s="1"/>
      <c r="I76" s="1"/>
    </row>
    <row r="77" spans="1:9" ht="15.75" customHeight="1">
      <c r="A77" s="1"/>
      <c r="B77" s="1"/>
      <c r="C77" s="1"/>
      <c r="D77" s="1"/>
      <c r="E77" s="1"/>
      <c r="F77" s="1"/>
      <c r="G77" s="1"/>
      <c r="H77" s="1"/>
      <c r="I77" s="1"/>
    </row>
    <row r="78" spans="1:9" ht="15.75" customHeight="1">
      <c r="A78" s="1"/>
      <c r="B78" s="1"/>
      <c r="C78" s="1"/>
      <c r="D78" s="1"/>
      <c r="E78" s="1"/>
      <c r="F78" s="1"/>
      <c r="G78" s="1"/>
      <c r="H78" s="1"/>
      <c r="I78" s="1"/>
    </row>
    <row r="79" spans="1:9" ht="15.75" customHeight="1">
      <c r="A79" s="1"/>
      <c r="B79" s="1"/>
      <c r="C79" s="1"/>
      <c r="D79" s="1"/>
      <c r="E79" s="1"/>
      <c r="F79" s="1"/>
      <c r="G79" s="1"/>
      <c r="H79" s="1"/>
      <c r="I79" s="1"/>
    </row>
    <row r="80" spans="1:9" ht="15.75" customHeight="1">
      <c r="A80" s="1"/>
      <c r="B80" s="1"/>
      <c r="C80" s="1"/>
      <c r="D80" s="1"/>
      <c r="E80" s="1"/>
      <c r="F80" s="1"/>
      <c r="G80" s="1"/>
      <c r="H80" s="1"/>
      <c r="I80" s="1"/>
    </row>
    <row r="81" spans="1:9" ht="15.75" customHeight="1">
      <c r="A81" s="1"/>
      <c r="B81" s="1"/>
      <c r="C81" s="1"/>
      <c r="D81" s="1"/>
      <c r="E81" s="1"/>
      <c r="F81" s="1"/>
      <c r="G81" s="1"/>
      <c r="H81" s="1"/>
      <c r="I81" s="1"/>
    </row>
    <row r="82" spans="1:9" ht="15.75" customHeight="1">
      <c r="A82" s="1"/>
      <c r="B82" s="1"/>
      <c r="C82" s="1"/>
      <c r="D82" s="1"/>
      <c r="E82" s="1"/>
      <c r="F82" s="1"/>
      <c r="G82" s="1"/>
      <c r="H82" s="1"/>
      <c r="I82" s="1"/>
    </row>
    <row r="83" spans="1:9" ht="15.75" customHeight="1">
      <c r="A83" s="1"/>
      <c r="B83" s="1"/>
      <c r="C83" s="1"/>
      <c r="D83" s="1"/>
      <c r="E83" s="1"/>
      <c r="F83" s="1"/>
      <c r="G83" s="1"/>
      <c r="H83" s="1"/>
      <c r="I83" s="1"/>
    </row>
    <row r="84" spans="1:9" ht="15.75" customHeight="1">
      <c r="A84" s="1"/>
      <c r="B84" s="1"/>
      <c r="C84" s="1"/>
      <c r="D84" s="1"/>
      <c r="E84" s="1"/>
      <c r="F84" s="1"/>
      <c r="G84" s="1"/>
      <c r="H84" s="1"/>
      <c r="I84" s="1"/>
    </row>
    <row r="85" spans="1:9" ht="15.75" customHeight="1">
      <c r="A85" s="1"/>
      <c r="B85" s="1"/>
      <c r="C85" s="1"/>
      <c r="D85" s="1"/>
      <c r="E85" s="1"/>
      <c r="F85" s="1"/>
      <c r="G85" s="1"/>
      <c r="H85" s="1"/>
      <c r="I85" s="1"/>
    </row>
    <row r="86" spans="1:9" ht="15.75" customHeight="1">
      <c r="A86" s="1"/>
      <c r="B86" s="1"/>
      <c r="C86" s="1"/>
      <c r="D86" s="1"/>
      <c r="E86" s="1"/>
      <c r="F86" s="1"/>
      <c r="G86" s="1"/>
      <c r="H86" s="1"/>
      <c r="I86" s="1"/>
    </row>
    <row r="87" spans="1:9" ht="15.75" customHeight="1">
      <c r="A87" s="1"/>
      <c r="B87" s="1"/>
      <c r="C87" s="1"/>
      <c r="D87" s="1"/>
      <c r="E87" s="1"/>
      <c r="F87" s="1"/>
      <c r="G87" s="1"/>
      <c r="H87" s="1"/>
      <c r="I87" s="1"/>
    </row>
    <row r="88" spans="1:9" ht="15.75" customHeight="1">
      <c r="A88" s="1"/>
      <c r="B88" s="1"/>
      <c r="C88" s="1"/>
      <c r="D88" s="1"/>
      <c r="E88" s="1"/>
      <c r="F88" s="1"/>
      <c r="G88" s="1"/>
      <c r="H88" s="1"/>
      <c r="I88" s="1"/>
    </row>
    <row r="89" spans="1:9" ht="15.75" customHeight="1">
      <c r="A89" s="1"/>
      <c r="B89" s="1"/>
      <c r="C89" s="1"/>
      <c r="D89" s="1"/>
      <c r="E89" s="1"/>
      <c r="F89" s="1"/>
      <c r="G89" s="1"/>
      <c r="H89" s="1"/>
      <c r="I89" s="1"/>
    </row>
    <row r="90" spans="1:9" ht="15.75" customHeight="1">
      <c r="A90" s="1"/>
      <c r="B90" s="1"/>
      <c r="C90" s="1"/>
      <c r="D90" s="1"/>
      <c r="E90" s="1"/>
      <c r="F90" s="1"/>
      <c r="G90" s="1"/>
      <c r="H90" s="1"/>
      <c r="I90" s="1"/>
    </row>
    <row r="91" spans="1:9" ht="15.75" customHeight="1">
      <c r="A91" s="1"/>
      <c r="B91" s="1"/>
      <c r="C91" s="1"/>
      <c r="D91" s="1"/>
      <c r="E91" s="1"/>
      <c r="F91" s="1"/>
      <c r="G91" s="1"/>
      <c r="H91" s="1"/>
      <c r="I91" s="1"/>
    </row>
    <row r="92" spans="1:9" ht="15.75" customHeight="1">
      <c r="A92" s="1"/>
      <c r="B92" s="1"/>
      <c r="C92" s="1"/>
      <c r="D92" s="1"/>
      <c r="E92" s="1"/>
      <c r="F92" s="1"/>
      <c r="G92" s="1"/>
      <c r="H92" s="1"/>
      <c r="I92" s="1"/>
    </row>
    <row r="93" spans="1:9" ht="15.75" customHeight="1">
      <c r="A93" s="1"/>
      <c r="B93" s="1"/>
      <c r="C93" s="1"/>
      <c r="D93" s="1"/>
      <c r="E93" s="1"/>
      <c r="F93" s="1"/>
      <c r="G93" s="1"/>
      <c r="H93" s="1"/>
      <c r="I93" s="1"/>
    </row>
    <row r="94" spans="1:9" ht="15.75" customHeight="1">
      <c r="A94" s="1"/>
      <c r="B94" s="1"/>
      <c r="C94" s="1"/>
      <c r="D94" s="1"/>
      <c r="E94" s="1"/>
      <c r="F94" s="1"/>
      <c r="G94" s="1"/>
      <c r="H94" s="1"/>
      <c r="I94" s="1"/>
    </row>
    <row r="95" spans="1:9" ht="15.75" customHeight="1">
      <c r="A95" s="1"/>
      <c r="B95" s="1"/>
      <c r="C95" s="1"/>
      <c r="D95" s="1"/>
      <c r="E95" s="1"/>
      <c r="F95" s="1"/>
      <c r="G95" s="1"/>
      <c r="H95" s="1"/>
      <c r="I95" s="1"/>
    </row>
    <row r="96" spans="1:9" ht="15.75" customHeight="1">
      <c r="A96" s="1"/>
      <c r="B96" s="1"/>
      <c r="C96" s="1"/>
      <c r="D96" s="1"/>
      <c r="E96" s="1"/>
      <c r="F96" s="1"/>
      <c r="G96" s="1"/>
      <c r="H96" s="1"/>
      <c r="I96" s="1"/>
    </row>
    <row r="97" spans="1:9" ht="15.75" customHeight="1">
      <c r="A97" s="1"/>
      <c r="B97" s="1"/>
      <c r="C97" s="1"/>
      <c r="D97" s="1"/>
      <c r="E97" s="1"/>
      <c r="F97" s="1"/>
      <c r="G97" s="1"/>
      <c r="H97" s="1"/>
      <c r="I97" s="1"/>
    </row>
    <row r="98" spans="1:9" ht="15.75" customHeight="1">
      <c r="A98" s="1"/>
      <c r="B98" s="1"/>
      <c r="C98" s="1"/>
      <c r="D98" s="1"/>
      <c r="E98" s="1"/>
      <c r="F98" s="1"/>
      <c r="G98" s="1"/>
      <c r="H98" s="1"/>
      <c r="I98" s="1"/>
    </row>
    <row r="99" spans="1:9" ht="15.75" customHeight="1">
      <c r="A99" s="1"/>
      <c r="B99" s="1"/>
      <c r="C99" s="1"/>
      <c r="D99" s="1"/>
      <c r="E99" s="1"/>
      <c r="F99" s="1"/>
      <c r="G99" s="1"/>
      <c r="H99" s="1"/>
      <c r="I99" s="1"/>
    </row>
    <row r="100" spans="1:9" ht="15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15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15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15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15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15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15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15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15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spans="1:9" ht="15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spans="1:9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spans="1:9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spans="1:9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spans="1:9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15.75" customHeight="1"/>
    <row r="231" spans="1:9" ht="15.75" customHeight="1"/>
    <row r="232" spans="1:9" ht="15.75" customHeight="1"/>
    <row r="233" spans="1:9" ht="15.75" customHeight="1"/>
    <row r="234" spans="1:9" ht="15.75" customHeight="1"/>
    <row r="235" spans="1:9" ht="15.75" customHeight="1"/>
    <row r="236" spans="1:9" ht="15.75" customHeight="1"/>
    <row r="237" spans="1:9" ht="15.75" customHeight="1"/>
    <row r="238" spans="1:9" ht="15.75" customHeight="1"/>
    <row r="239" spans="1:9" ht="15.75" customHeight="1"/>
    <row r="240" spans="1: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C29:H29"/>
    <mergeCell ref="F13:G13"/>
    <mergeCell ref="B14:H14"/>
    <mergeCell ref="B23:H23"/>
    <mergeCell ref="C24:H24"/>
    <mergeCell ref="C25:H25"/>
    <mergeCell ref="C26:H26"/>
    <mergeCell ref="C27:H27"/>
    <mergeCell ref="C11:E11"/>
    <mergeCell ref="F11:G11"/>
    <mergeCell ref="C12:E12"/>
    <mergeCell ref="F12:G12"/>
    <mergeCell ref="C28:H28"/>
    <mergeCell ref="C8:E8"/>
    <mergeCell ref="F9:H9"/>
    <mergeCell ref="C9:E9"/>
    <mergeCell ref="C10:E10"/>
    <mergeCell ref="F10:G10"/>
    <mergeCell ref="F5:G5"/>
    <mergeCell ref="C5:E5"/>
    <mergeCell ref="C6:E6"/>
    <mergeCell ref="F6:G6"/>
    <mergeCell ref="C7:E7"/>
    <mergeCell ref="F7:G7"/>
    <mergeCell ref="B1:H1"/>
    <mergeCell ref="B2:H2"/>
    <mergeCell ref="C3:E3"/>
    <mergeCell ref="F3:H3"/>
    <mergeCell ref="C4:E4"/>
    <mergeCell ref="F4:G4"/>
  </mergeCells>
  <dataValidations count="1">
    <dataValidation type="list" allowBlank="1" sqref="C12" xr:uid="{00000000-0002-0000-0100-000000000000}">
      <formula1>"Lead,Quoted,Deposit Received,In Progress,Punch List,Complete,On Hold,Cancelled"</formula1>
    </dataValidation>
  </dataValidation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0"/>
  <sheetViews>
    <sheetView showGridLines="0" tabSelected="1" workbookViewId="0">
      <pane ySplit="9" topLeftCell="A10" activePane="bottomLeft" state="frozen"/>
      <selection pane="bottomLeft" activeCell="B11" sqref="B11"/>
    </sheetView>
  </sheetViews>
  <sheetFormatPr defaultColWidth="14.42578125" defaultRowHeight="15" customHeight="1"/>
  <cols>
    <col min="1" max="1" width="3" customWidth="1"/>
    <col min="2" max="2" width="12.85546875" customWidth="1"/>
    <col min="3" max="3" width="32" customWidth="1"/>
    <col min="4" max="4" width="8" customWidth="1"/>
    <col min="5" max="5" width="10" customWidth="1"/>
    <col min="6" max="9" width="12" customWidth="1"/>
    <col min="10" max="10" width="10" customWidth="1"/>
    <col min="11" max="11" width="8" customWidth="1"/>
    <col min="12" max="12" width="10.5703125" customWidth="1"/>
    <col min="13" max="16" width="12" customWidth="1"/>
    <col min="17" max="17" width="14" customWidth="1"/>
    <col min="18" max="18" width="3" customWidth="1"/>
  </cols>
  <sheetData>
    <row r="1" spans="1:18" ht="37.5" customHeight="1">
      <c r="A1" s="1"/>
      <c r="B1" s="59" t="s">
        <v>131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1"/>
      <c r="R1" s="1"/>
    </row>
    <row r="2" spans="1:18" ht="23.25" customHeight="1">
      <c r="A2" s="1"/>
      <c r="B2" s="7" t="s">
        <v>93</v>
      </c>
      <c r="C2" s="67"/>
      <c r="D2" s="63"/>
      <c r="E2" s="63"/>
      <c r="F2" s="64"/>
      <c r="G2" s="7" t="s">
        <v>89</v>
      </c>
      <c r="H2" s="67"/>
      <c r="I2" s="63"/>
      <c r="J2" s="64"/>
      <c r="K2" s="1"/>
      <c r="L2" s="1"/>
      <c r="M2" s="1"/>
      <c r="N2" s="1"/>
      <c r="O2" s="1"/>
      <c r="P2" s="1"/>
      <c r="Q2" s="1"/>
      <c r="R2" s="1"/>
    </row>
    <row r="3" spans="1:18" ht="26.25" customHeight="1">
      <c r="A3" s="1"/>
      <c r="B3" s="7" t="s">
        <v>132</v>
      </c>
      <c r="C3" s="67"/>
      <c r="D3" s="63"/>
      <c r="E3" s="63"/>
      <c r="F3" s="64"/>
      <c r="G3" s="7" t="s">
        <v>99</v>
      </c>
      <c r="H3" s="67"/>
      <c r="I3" s="63"/>
      <c r="J3" s="64"/>
      <c r="K3" s="1"/>
      <c r="L3" s="1"/>
      <c r="M3" s="1"/>
      <c r="N3" s="1"/>
      <c r="O3" s="1"/>
      <c r="P3" s="1"/>
      <c r="Q3" s="1"/>
      <c r="R3" s="1"/>
    </row>
    <row r="4" spans="1:18" ht="20.25" customHeight="1">
      <c r="A4" s="1"/>
      <c r="B4" s="7" t="s">
        <v>133</v>
      </c>
      <c r="C4" s="67"/>
      <c r="D4" s="63"/>
      <c r="E4" s="63"/>
      <c r="F4" s="64"/>
      <c r="G4" s="7" t="s">
        <v>134</v>
      </c>
      <c r="H4" s="67"/>
      <c r="I4" s="63"/>
      <c r="J4" s="64"/>
      <c r="K4" s="1"/>
      <c r="L4" s="1"/>
      <c r="M4" s="1"/>
      <c r="N4" s="1"/>
      <c r="O4" s="1"/>
      <c r="P4" s="1"/>
      <c r="Q4" s="1"/>
      <c r="R4" s="1"/>
    </row>
    <row r="5" spans="1:18" ht="17.25" customHeight="1">
      <c r="A5" s="1"/>
      <c r="B5" s="7" t="s">
        <v>135</v>
      </c>
      <c r="C5" s="67"/>
      <c r="D5" s="63"/>
      <c r="E5" s="63"/>
      <c r="F5" s="64"/>
      <c r="G5" s="7" t="s">
        <v>136</v>
      </c>
      <c r="H5" s="67"/>
      <c r="I5" s="63"/>
      <c r="J5" s="64"/>
      <c r="K5" s="1"/>
      <c r="L5" s="1"/>
      <c r="M5" s="1"/>
      <c r="N5" s="1"/>
      <c r="O5" s="1"/>
      <c r="P5" s="1"/>
      <c r="Q5" s="1"/>
      <c r="R5" s="1"/>
    </row>
    <row r="6" spans="1:18" ht="27.75" customHeight="1">
      <c r="A6" s="1"/>
      <c r="B6" s="7" t="s">
        <v>137</v>
      </c>
      <c r="C6" s="7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4"/>
      <c r="Q6" s="1"/>
      <c r="R6" s="1"/>
    </row>
    <row r="7" spans="1:18" ht="18" customHeight="1">
      <c r="A7" s="1"/>
      <c r="B7" s="74" t="s">
        <v>138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1"/>
      <c r="Q7" s="15">
        <f>Q66</f>
        <v>0</v>
      </c>
      <c r="R7" s="15">
        <f>Q66</f>
        <v>0</v>
      </c>
    </row>
    <row r="8" spans="1:18" ht="89.25" customHeight="1">
      <c r="A8" s="1"/>
      <c r="B8" s="7" t="s">
        <v>139</v>
      </c>
      <c r="C8" s="16">
        <v>0.25</v>
      </c>
      <c r="D8" s="7" t="s">
        <v>140</v>
      </c>
      <c r="E8" s="17">
        <v>30</v>
      </c>
      <c r="F8" s="7" t="s">
        <v>141</v>
      </c>
      <c r="G8" s="17">
        <v>145</v>
      </c>
      <c r="H8" s="7" t="s">
        <v>142</v>
      </c>
      <c r="I8" s="17">
        <v>45</v>
      </c>
      <c r="J8" s="7" t="s">
        <v>143</v>
      </c>
      <c r="K8" s="17">
        <v>120</v>
      </c>
      <c r="L8" s="7" t="s">
        <v>144</v>
      </c>
      <c r="M8" s="17">
        <v>150</v>
      </c>
      <c r="N8" s="7" t="s">
        <v>145</v>
      </c>
      <c r="O8" s="16">
        <v>0.35</v>
      </c>
      <c r="P8" s="18"/>
      <c r="Q8" s="15">
        <f>Q65</f>
        <v>0</v>
      </c>
      <c r="R8" s="15">
        <f>Q65</f>
        <v>0</v>
      </c>
    </row>
    <row r="9" spans="1:18" ht="30" customHeight="1">
      <c r="A9" s="1"/>
      <c r="B9" s="19" t="s">
        <v>146</v>
      </c>
      <c r="C9" s="19" t="s">
        <v>147</v>
      </c>
      <c r="D9" s="19" t="s">
        <v>148</v>
      </c>
      <c r="E9" s="19" t="s">
        <v>149</v>
      </c>
      <c r="F9" s="19" t="s">
        <v>150</v>
      </c>
      <c r="G9" s="19" t="s">
        <v>151</v>
      </c>
      <c r="H9" s="19" t="s">
        <v>152</v>
      </c>
      <c r="I9" s="19" t="s">
        <v>153</v>
      </c>
      <c r="J9" s="19" t="s">
        <v>154</v>
      </c>
      <c r="K9" s="19" t="s">
        <v>155</v>
      </c>
      <c r="L9" s="19" t="s">
        <v>156</v>
      </c>
      <c r="M9" s="19" t="s">
        <v>157</v>
      </c>
      <c r="N9" s="19" t="s">
        <v>158</v>
      </c>
      <c r="O9" s="19" t="s">
        <v>159</v>
      </c>
      <c r="P9" s="19" t="s">
        <v>160</v>
      </c>
      <c r="Q9" s="15">
        <f>Q7-Q8</f>
        <v>0</v>
      </c>
      <c r="R9" s="15">
        <f t="shared" ref="R9:R10" si="0">Q69</f>
        <v>0</v>
      </c>
    </row>
    <row r="10" spans="1:18" ht="18" customHeight="1">
      <c r="A10" s="1"/>
      <c r="B10" s="74" t="s">
        <v>161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1"/>
      <c r="Q10" s="20">
        <f>IF(Q7=0,0,Q9/Q7)</f>
        <v>0</v>
      </c>
      <c r="R10" s="20">
        <f t="shared" si="0"/>
        <v>0</v>
      </c>
    </row>
    <row r="11" spans="1:18" ht="36" customHeight="1">
      <c r="A11" s="1"/>
      <c r="B11" s="21">
        <v>1</v>
      </c>
      <c r="C11" s="5" t="s">
        <v>162</v>
      </c>
      <c r="D11" s="22"/>
      <c r="E11" s="23"/>
      <c r="F11" s="17"/>
      <c r="G11" s="8" t="str">
        <f t="shared" ref="G11:G14" si="1">IF(E11="","-",E11*F11)</f>
        <v>-</v>
      </c>
      <c r="H11" s="23"/>
      <c r="I11" s="8" t="str">
        <f t="shared" ref="I11:I14" si="2">IF(H11="","-",H11*$E$8)</f>
        <v>-</v>
      </c>
      <c r="J11" s="23"/>
      <c r="K11" s="8" t="str">
        <f t="shared" ref="K11:K14" si="3">IF(J11="","-",J11*$G$8)</f>
        <v>-</v>
      </c>
      <c r="L11" s="17"/>
      <c r="M11" s="24">
        <f t="shared" ref="M11:M14" si="4">IFERROR(IF(G11="-",0,G11)+IF(I11="-",0,I11)+IF(K11="-",0,K11)+IF(L11="",0,L11),0)</f>
        <v>0</v>
      </c>
      <c r="N11" s="8">
        <f t="shared" ref="N11:N14" si="5">IFERROR((IF(G11="-",0,G11)*$C$8),0)</f>
        <v>0</v>
      </c>
      <c r="O11" s="25">
        <f t="shared" ref="O11:O14" si="6">IFERROR((IF(G11="-",0,G11)*(1+$C$8)) + (IF(H11="",0,H11)*$P$8) + IF(K11="-",0,K11) + IF(L11="",0,L11),0)</f>
        <v>0</v>
      </c>
      <c r="P11" s="26"/>
      <c r="Q11" s="1"/>
      <c r="R11" s="1"/>
    </row>
    <row r="12" spans="1:18" ht="18" customHeight="1">
      <c r="A12" s="1"/>
      <c r="B12" s="21">
        <v>2</v>
      </c>
      <c r="C12" s="5" t="s">
        <v>163</v>
      </c>
      <c r="D12" s="22"/>
      <c r="E12" s="23"/>
      <c r="F12" s="17"/>
      <c r="G12" s="8" t="str">
        <f t="shared" si="1"/>
        <v>-</v>
      </c>
      <c r="H12" s="23"/>
      <c r="I12" s="8" t="str">
        <f t="shared" si="2"/>
        <v>-</v>
      </c>
      <c r="J12" s="23"/>
      <c r="K12" s="8" t="str">
        <f t="shared" si="3"/>
        <v>-</v>
      </c>
      <c r="L12" s="17"/>
      <c r="M12" s="24">
        <f t="shared" si="4"/>
        <v>0</v>
      </c>
      <c r="N12" s="8">
        <f t="shared" si="5"/>
        <v>0</v>
      </c>
      <c r="O12" s="25">
        <f t="shared" si="6"/>
        <v>0</v>
      </c>
      <c r="P12" s="26"/>
      <c r="Q12" s="1"/>
      <c r="R12" s="1"/>
    </row>
    <row r="13" spans="1:18" ht="18" customHeight="1">
      <c r="A13" s="1"/>
      <c r="B13" s="21">
        <v>3</v>
      </c>
      <c r="C13" s="5" t="s">
        <v>164</v>
      </c>
      <c r="D13" s="22"/>
      <c r="E13" s="23"/>
      <c r="F13" s="17"/>
      <c r="G13" s="8" t="str">
        <f t="shared" si="1"/>
        <v>-</v>
      </c>
      <c r="H13" s="23"/>
      <c r="I13" s="8" t="str">
        <f t="shared" si="2"/>
        <v>-</v>
      </c>
      <c r="J13" s="23"/>
      <c r="K13" s="8" t="str">
        <f t="shared" si="3"/>
        <v>-</v>
      </c>
      <c r="L13" s="17"/>
      <c r="M13" s="24">
        <f t="shared" si="4"/>
        <v>0</v>
      </c>
      <c r="N13" s="8">
        <f t="shared" si="5"/>
        <v>0</v>
      </c>
      <c r="O13" s="25">
        <f t="shared" si="6"/>
        <v>0</v>
      </c>
      <c r="P13" s="26"/>
      <c r="Q13" s="1"/>
      <c r="R13" s="1"/>
    </row>
    <row r="14" spans="1:18" ht="18" customHeight="1">
      <c r="A14" s="1"/>
      <c r="B14" s="21">
        <v>4</v>
      </c>
      <c r="C14" s="5" t="s">
        <v>165</v>
      </c>
      <c r="D14" s="22"/>
      <c r="E14" s="23"/>
      <c r="F14" s="17"/>
      <c r="G14" s="8" t="str">
        <f t="shared" si="1"/>
        <v>-</v>
      </c>
      <c r="H14" s="23"/>
      <c r="I14" s="8" t="str">
        <f t="shared" si="2"/>
        <v>-</v>
      </c>
      <c r="J14" s="23"/>
      <c r="K14" s="8" t="str">
        <f t="shared" si="3"/>
        <v>-</v>
      </c>
      <c r="L14" s="17"/>
      <c r="M14" s="24">
        <f t="shared" si="4"/>
        <v>0</v>
      </c>
      <c r="N14" s="8">
        <f t="shared" si="5"/>
        <v>0</v>
      </c>
      <c r="O14" s="25">
        <f t="shared" si="6"/>
        <v>0</v>
      </c>
      <c r="P14" s="26"/>
      <c r="Q14" s="1"/>
      <c r="R14" s="1"/>
    </row>
    <row r="15" spans="1:18" ht="19.5" customHeight="1">
      <c r="A15" s="1"/>
      <c r="B15" s="75" t="s">
        <v>166</v>
      </c>
      <c r="C15" s="60"/>
      <c r="D15" s="60"/>
      <c r="E15" s="60"/>
      <c r="F15" s="60"/>
      <c r="G15" s="60"/>
      <c r="H15" s="60"/>
      <c r="I15" s="60"/>
      <c r="J15" s="60"/>
      <c r="K15" s="60"/>
      <c r="L15" s="61"/>
      <c r="M15" s="27">
        <f>SUM(M11:M14)</f>
        <v>0</v>
      </c>
      <c r="N15" s="1"/>
      <c r="O15" s="27">
        <f>SUM(O11:O14)</f>
        <v>0</v>
      </c>
      <c r="P15" s="1"/>
      <c r="Q15" s="1"/>
      <c r="R15" s="1"/>
    </row>
    <row r="16" spans="1:1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8" customHeight="1">
      <c r="A17" s="1"/>
      <c r="B17" s="74" t="s">
        <v>167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1"/>
      <c r="Q17" s="1"/>
      <c r="R17" s="1"/>
    </row>
    <row r="18" spans="1:18" ht="33" customHeight="1">
      <c r="A18" s="1"/>
      <c r="B18" s="21">
        <v>1</v>
      </c>
      <c r="C18" s="5" t="s">
        <v>168</v>
      </c>
      <c r="D18" s="22"/>
      <c r="E18" s="23"/>
      <c r="F18" s="17"/>
      <c r="G18" s="8" t="str">
        <f t="shared" ref="G18:G21" si="7">IF(E18="","-",E18*F18)</f>
        <v>-</v>
      </c>
      <c r="H18" s="23"/>
      <c r="I18" s="8" t="str">
        <f t="shared" ref="I18:I21" si="8">IF(H18="","-",H18*$E$8)</f>
        <v>-</v>
      </c>
      <c r="J18" s="23"/>
      <c r="K18" s="8" t="str">
        <f t="shared" ref="K18:K21" si="9">IF(J18="","-",J18*$G$8)</f>
        <v>-</v>
      </c>
      <c r="L18" s="17"/>
      <c r="M18" s="24">
        <f t="shared" ref="M18:M21" si="10">IFERROR(IF(G18="-",0,G18)+IF(I18="-",0,I18)+IF(K18="-",0,K18)+IF(L18="",0,L18),0)</f>
        <v>0</v>
      </c>
      <c r="N18" s="8">
        <f t="shared" ref="N18:N21" si="11">IFERROR((IF(G18="-",0,G18)*$C$8),0)</f>
        <v>0</v>
      </c>
      <c r="O18" s="25">
        <f t="shared" ref="O18:O21" si="12">IFERROR((IF(G18="-",0,G18)*(1+$C$8)) + (IF(H18="",0,H18)*$P$8) + IF(K18="-",0,K18) + IF(L18="",0,L18),0)</f>
        <v>0</v>
      </c>
      <c r="P18" s="26"/>
      <c r="Q18" s="1"/>
      <c r="R18" s="1"/>
    </row>
    <row r="19" spans="1:18" ht="18" customHeight="1">
      <c r="A19" s="1"/>
      <c r="B19" s="21">
        <v>2</v>
      </c>
      <c r="C19" s="5" t="s">
        <v>169</v>
      </c>
      <c r="D19" s="22"/>
      <c r="E19" s="23"/>
      <c r="F19" s="17"/>
      <c r="G19" s="8" t="str">
        <f t="shared" si="7"/>
        <v>-</v>
      </c>
      <c r="H19" s="23"/>
      <c r="I19" s="8" t="str">
        <f t="shared" si="8"/>
        <v>-</v>
      </c>
      <c r="J19" s="23"/>
      <c r="K19" s="8" t="str">
        <f t="shared" si="9"/>
        <v>-</v>
      </c>
      <c r="L19" s="17"/>
      <c r="M19" s="24">
        <f t="shared" si="10"/>
        <v>0</v>
      </c>
      <c r="N19" s="8">
        <f t="shared" si="11"/>
        <v>0</v>
      </c>
      <c r="O19" s="25">
        <f t="shared" si="12"/>
        <v>0</v>
      </c>
      <c r="P19" s="26"/>
      <c r="Q19" s="1"/>
      <c r="R19" s="1"/>
    </row>
    <row r="20" spans="1:18" ht="22.5" customHeight="1">
      <c r="A20" s="1"/>
      <c r="B20" s="21">
        <v>3</v>
      </c>
      <c r="C20" s="5" t="s">
        <v>170</v>
      </c>
      <c r="D20" s="22"/>
      <c r="E20" s="23"/>
      <c r="F20" s="17"/>
      <c r="G20" s="8" t="str">
        <f t="shared" si="7"/>
        <v>-</v>
      </c>
      <c r="H20" s="23"/>
      <c r="I20" s="8" t="str">
        <f t="shared" si="8"/>
        <v>-</v>
      </c>
      <c r="J20" s="23"/>
      <c r="K20" s="8" t="str">
        <f t="shared" si="9"/>
        <v>-</v>
      </c>
      <c r="L20" s="17"/>
      <c r="M20" s="24">
        <f t="shared" si="10"/>
        <v>0</v>
      </c>
      <c r="N20" s="8">
        <f t="shared" si="11"/>
        <v>0</v>
      </c>
      <c r="O20" s="25">
        <f t="shared" si="12"/>
        <v>0</v>
      </c>
      <c r="P20" s="26"/>
      <c r="Q20" s="1"/>
      <c r="R20" s="1"/>
    </row>
    <row r="21" spans="1:18" ht="29.25" customHeight="1">
      <c r="A21" s="1"/>
      <c r="B21" s="21">
        <v>4</v>
      </c>
      <c r="C21" s="5" t="s">
        <v>171</v>
      </c>
      <c r="D21" s="22"/>
      <c r="E21" s="23"/>
      <c r="F21" s="17"/>
      <c r="G21" s="8" t="str">
        <f t="shared" si="7"/>
        <v>-</v>
      </c>
      <c r="H21" s="23"/>
      <c r="I21" s="8" t="str">
        <f t="shared" si="8"/>
        <v>-</v>
      </c>
      <c r="J21" s="23"/>
      <c r="K21" s="8" t="str">
        <f t="shared" si="9"/>
        <v>-</v>
      </c>
      <c r="L21" s="17"/>
      <c r="M21" s="24">
        <f t="shared" si="10"/>
        <v>0</v>
      </c>
      <c r="N21" s="8">
        <f t="shared" si="11"/>
        <v>0</v>
      </c>
      <c r="O21" s="25">
        <f t="shared" si="12"/>
        <v>0</v>
      </c>
      <c r="P21" s="26"/>
      <c r="Q21" s="1"/>
      <c r="R21" s="1"/>
    </row>
    <row r="22" spans="1:18" ht="19.5" customHeight="1">
      <c r="A22" s="1"/>
      <c r="B22" s="75" t="s">
        <v>172</v>
      </c>
      <c r="C22" s="60"/>
      <c r="D22" s="60"/>
      <c r="E22" s="60"/>
      <c r="F22" s="60"/>
      <c r="G22" s="60"/>
      <c r="H22" s="60"/>
      <c r="I22" s="60"/>
      <c r="J22" s="60"/>
      <c r="K22" s="60"/>
      <c r="L22" s="61"/>
      <c r="M22" s="27">
        <f>SUM(M18:M21)</f>
        <v>0</v>
      </c>
      <c r="N22" s="1"/>
      <c r="O22" s="27">
        <f>SUM(O18:O21)</f>
        <v>0</v>
      </c>
      <c r="P22" s="1"/>
      <c r="Q22" s="1"/>
      <c r="R22" s="1"/>
    </row>
    <row r="23" spans="1:18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8" customHeight="1">
      <c r="A24" s="1"/>
      <c r="B24" s="76" t="s">
        <v>173</v>
      </c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8"/>
      <c r="Q24" s="1"/>
      <c r="R24" s="1"/>
    </row>
    <row r="25" spans="1:18" ht="18" customHeight="1">
      <c r="A25" s="1"/>
      <c r="B25" s="21">
        <v>1</v>
      </c>
      <c r="C25" s="5" t="s">
        <v>174</v>
      </c>
      <c r="D25" s="22"/>
      <c r="E25" s="23"/>
      <c r="F25" s="17"/>
      <c r="G25" s="8" t="str">
        <f t="shared" ref="G25:G28" si="13">IF(E25="","-",E25*F25)</f>
        <v>-</v>
      </c>
      <c r="H25" s="23"/>
      <c r="I25" s="8" t="str">
        <f t="shared" ref="I25:I28" si="14">IF(H25="","-",H25*$E$8)</f>
        <v>-</v>
      </c>
      <c r="J25" s="23"/>
      <c r="K25" s="8" t="str">
        <f t="shared" ref="K25:K28" si="15">IF(J25="","-",J25*$G$8)</f>
        <v>-</v>
      </c>
      <c r="L25" s="17"/>
      <c r="M25" s="24">
        <f t="shared" ref="M25:M28" si="16">IFERROR(IF(G25="-",0,G25)+IF(I25="-",0,I25)+IF(K25="-",0,K25)+IF(L25="",0,L25),0)</f>
        <v>0</v>
      </c>
      <c r="N25" s="8">
        <f t="shared" ref="N25:N28" si="17">IFERROR((IF(G25="-",0,G25)*$C$8),0)</f>
        <v>0</v>
      </c>
      <c r="O25" s="25">
        <f t="shared" ref="O25:O28" si="18">IFERROR((IF(G25="-",0,G25)*(1+$C$8)) + (IF(H25="",0,H25)*$P$8) + IF(K25="-",0,K25) + IF(L25="",0,L25),0)</f>
        <v>0</v>
      </c>
      <c r="P25" s="26"/>
      <c r="Q25" s="1"/>
      <c r="R25" s="1"/>
    </row>
    <row r="26" spans="1:18" ht="18" customHeight="1">
      <c r="A26" s="1"/>
      <c r="B26" s="21">
        <v>2</v>
      </c>
      <c r="C26" s="5" t="s">
        <v>175</v>
      </c>
      <c r="D26" s="22"/>
      <c r="E26" s="23"/>
      <c r="F26" s="17"/>
      <c r="G26" s="8" t="str">
        <f t="shared" si="13"/>
        <v>-</v>
      </c>
      <c r="H26" s="23"/>
      <c r="I26" s="8" t="str">
        <f t="shared" si="14"/>
        <v>-</v>
      </c>
      <c r="J26" s="23"/>
      <c r="K26" s="8" t="str">
        <f t="shared" si="15"/>
        <v>-</v>
      </c>
      <c r="L26" s="17"/>
      <c r="M26" s="24">
        <f t="shared" si="16"/>
        <v>0</v>
      </c>
      <c r="N26" s="8">
        <f t="shared" si="17"/>
        <v>0</v>
      </c>
      <c r="O26" s="25">
        <f t="shared" si="18"/>
        <v>0</v>
      </c>
      <c r="P26" s="26"/>
      <c r="Q26" s="1"/>
      <c r="R26" s="1"/>
    </row>
    <row r="27" spans="1:18" ht="18" customHeight="1">
      <c r="A27" s="1"/>
      <c r="B27" s="21">
        <v>3</v>
      </c>
      <c r="C27" s="5" t="s">
        <v>176</v>
      </c>
      <c r="D27" s="22"/>
      <c r="E27" s="23"/>
      <c r="F27" s="17"/>
      <c r="G27" s="8" t="str">
        <f t="shared" si="13"/>
        <v>-</v>
      </c>
      <c r="H27" s="23"/>
      <c r="I27" s="8" t="str">
        <f t="shared" si="14"/>
        <v>-</v>
      </c>
      <c r="J27" s="23"/>
      <c r="K27" s="8" t="str">
        <f t="shared" si="15"/>
        <v>-</v>
      </c>
      <c r="L27" s="17"/>
      <c r="M27" s="24">
        <f t="shared" si="16"/>
        <v>0</v>
      </c>
      <c r="N27" s="8">
        <f t="shared" si="17"/>
        <v>0</v>
      </c>
      <c r="O27" s="25">
        <f t="shared" si="18"/>
        <v>0</v>
      </c>
      <c r="P27" s="26"/>
      <c r="Q27" s="1"/>
      <c r="R27" s="1"/>
    </row>
    <row r="28" spans="1:18" ht="18" customHeight="1">
      <c r="A28" s="1"/>
      <c r="B28" s="21">
        <v>4</v>
      </c>
      <c r="C28" s="5" t="s">
        <v>177</v>
      </c>
      <c r="D28" s="22"/>
      <c r="E28" s="23"/>
      <c r="F28" s="17"/>
      <c r="G28" s="8" t="str">
        <f t="shared" si="13"/>
        <v>-</v>
      </c>
      <c r="H28" s="23"/>
      <c r="I28" s="8" t="str">
        <f t="shared" si="14"/>
        <v>-</v>
      </c>
      <c r="J28" s="23"/>
      <c r="K28" s="8" t="str">
        <f t="shared" si="15"/>
        <v>-</v>
      </c>
      <c r="L28" s="17"/>
      <c r="M28" s="24">
        <f t="shared" si="16"/>
        <v>0</v>
      </c>
      <c r="N28" s="8">
        <f t="shared" si="17"/>
        <v>0</v>
      </c>
      <c r="O28" s="25">
        <f t="shared" si="18"/>
        <v>0</v>
      </c>
      <c r="P28" s="26"/>
      <c r="Q28" s="1"/>
      <c r="R28" s="1"/>
    </row>
    <row r="29" spans="1:18" ht="19.5" customHeight="1">
      <c r="A29" s="1"/>
      <c r="B29" s="79" t="s">
        <v>178</v>
      </c>
      <c r="C29" s="80"/>
      <c r="D29" s="80"/>
      <c r="E29" s="80"/>
      <c r="F29" s="80"/>
      <c r="G29" s="80"/>
      <c r="H29" s="80"/>
      <c r="I29" s="80"/>
      <c r="J29" s="80"/>
      <c r="K29" s="80"/>
      <c r="L29" s="81"/>
      <c r="M29" s="27">
        <f>SUM(M25:M28)</f>
        <v>0</v>
      </c>
      <c r="N29" s="1"/>
      <c r="O29" s="27">
        <f>SUM(O25:O28)</f>
        <v>0</v>
      </c>
      <c r="P29" s="1"/>
      <c r="Q29" s="1"/>
      <c r="R29" s="1"/>
    </row>
    <row r="30" spans="1:18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8" customHeight="1">
      <c r="A31" s="1"/>
      <c r="B31" s="76" t="s">
        <v>179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8"/>
      <c r="Q31" s="1"/>
      <c r="R31" s="1"/>
    </row>
    <row r="32" spans="1:18" ht="18" customHeight="1">
      <c r="A32" s="1"/>
      <c r="B32" s="21">
        <v>1</v>
      </c>
      <c r="C32" s="5" t="s">
        <v>180</v>
      </c>
      <c r="D32" s="22"/>
      <c r="E32" s="23"/>
      <c r="F32" s="17"/>
      <c r="G32" s="8" t="str">
        <f t="shared" ref="G32:G37" si="19">IF(E32="","-",E32*F32)</f>
        <v>-</v>
      </c>
      <c r="H32" s="23"/>
      <c r="I32" s="8" t="str">
        <f t="shared" ref="I32:I37" si="20">IF(H32="","-",H32*$E$8)</f>
        <v>-</v>
      </c>
      <c r="J32" s="23"/>
      <c r="K32" s="8" t="str">
        <f t="shared" ref="K32:K37" si="21">IF(J32="","-",J32*$G$8)</f>
        <v>-</v>
      </c>
      <c r="L32" s="17"/>
      <c r="M32" s="24">
        <f t="shared" ref="M32:M37" si="22">IFERROR(IF(G32="-",0,G32)+IF(I32="-",0,I32)+IF(K32="-",0,K32)+IF(L32="",0,L32),0)</f>
        <v>0</v>
      </c>
      <c r="N32" s="8">
        <f t="shared" ref="N32:N37" si="23">IFERROR((IF(G32="-",0,G32)*$C$8),0)</f>
        <v>0</v>
      </c>
      <c r="O32" s="25">
        <f t="shared" ref="O32:O37" si="24">IFERROR((IF(G32="-",0,G32)*(1+$C$8)) + (IF(H32="",0,H32)*$P$8) + IF(K32="-",0,K32) + IF(L32="",0,L32),0)</f>
        <v>0</v>
      </c>
      <c r="P32" s="26"/>
      <c r="Q32" s="1"/>
      <c r="R32" s="1"/>
    </row>
    <row r="33" spans="1:18" ht="18" customHeight="1">
      <c r="A33" s="1"/>
      <c r="B33" s="21">
        <v>2</v>
      </c>
      <c r="C33" s="5" t="s">
        <v>181</v>
      </c>
      <c r="D33" s="22"/>
      <c r="E33" s="23"/>
      <c r="F33" s="17"/>
      <c r="G33" s="8" t="str">
        <f t="shared" si="19"/>
        <v>-</v>
      </c>
      <c r="H33" s="23"/>
      <c r="I33" s="8" t="str">
        <f t="shared" si="20"/>
        <v>-</v>
      </c>
      <c r="J33" s="23"/>
      <c r="K33" s="8" t="str">
        <f t="shared" si="21"/>
        <v>-</v>
      </c>
      <c r="L33" s="17"/>
      <c r="M33" s="24">
        <f t="shared" si="22"/>
        <v>0</v>
      </c>
      <c r="N33" s="8">
        <f t="shared" si="23"/>
        <v>0</v>
      </c>
      <c r="O33" s="25">
        <f t="shared" si="24"/>
        <v>0</v>
      </c>
      <c r="P33" s="26"/>
      <c r="Q33" s="1"/>
      <c r="R33" s="1"/>
    </row>
    <row r="34" spans="1:18" ht="18" customHeight="1">
      <c r="A34" s="1"/>
      <c r="B34" s="21">
        <v>3</v>
      </c>
      <c r="C34" s="5" t="s">
        <v>182</v>
      </c>
      <c r="D34" s="22"/>
      <c r="E34" s="23"/>
      <c r="F34" s="17"/>
      <c r="G34" s="8" t="str">
        <f t="shared" si="19"/>
        <v>-</v>
      </c>
      <c r="H34" s="23"/>
      <c r="I34" s="8" t="str">
        <f t="shared" si="20"/>
        <v>-</v>
      </c>
      <c r="J34" s="23"/>
      <c r="K34" s="8" t="str">
        <f t="shared" si="21"/>
        <v>-</v>
      </c>
      <c r="L34" s="17"/>
      <c r="M34" s="24">
        <f t="shared" si="22"/>
        <v>0</v>
      </c>
      <c r="N34" s="8">
        <f t="shared" si="23"/>
        <v>0</v>
      </c>
      <c r="O34" s="25">
        <f t="shared" si="24"/>
        <v>0</v>
      </c>
      <c r="P34" s="26"/>
      <c r="Q34" s="1"/>
      <c r="R34" s="1"/>
    </row>
    <row r="35" spans="1:18" ht="18" customHeight="1">
      <c r="A35" s="1"/>
      <c r="B35" s="21">
        <v>4</v>
      </c>
      <c r="C35" s="5" t="s">
        <v>183</v>
      </c>
      <c r="D35" s="22"/>
      <c r="E35" s="23"/>
      <c r="F35" s="17"/>
      <c r="G35" s="8" t="str">
        <f t="shared" si="19"/>
        <v>-</v>
      </c>
      <c r="H35" s="23"/>
      <c r="I35" s="8" t="str">
        <f t="shared" si="20"/>
        <v>-</v>
      </c>
      <c r="J35" s="23"/>
      <c r="K35" s="8" t="str">
        <f t="shared" si="21"/>
        <v>-</v>
      </c>
      <c r="L35" s="17"/>
      <c r="M35" s="24">
        <f t="shared" si="22"/>
        <v>0</v>
      </c>
      <c r="N35" s="8">
        <f t="shared" si="23"/>
        <v>0</v>
      </c>
      <c r="O35" s="25">
        <f t="shared" si="24"/>
        <v>0</v>
      </c>
      <c r="P35" s="26"/>
      <c r="Q35" s="1"/>
      <c r="R35" s="1"/>
    </row>
    <row r="36" spans="1:18" ht="18" customHeight="1">
      <c r="A36" s="1"/>
      <c r="B36" s="21">
        <v>5</v>
      </c>
      <c r="C36" s="5" t="s">
        <v>184</v>
      </c>
      <c r="D36" s="22"/>
      <c r="E36" s="23"/>
      <c r="F36" s="17"/>
      <c r="G36" s="8" t="str">
        <f t="shared" si="19"/>
        <v>-</v>
      </c>
      <c r="H36" s="23"/>
      <c r="I36" s="8" t="str">
        <f t="shared" si="20"/>
        <v>-</v>
      </c>
      <c r="J36" s="23"/>
      <c r="K36" s="8" t="str">
        <f t="shared" si="21"/>
        <v>-</v>
      </c>
      <c r="L36" s="17"/>
      <c r="M36" s="24">
        <f t="shared" si="22"/>
        <v>0</v>
      </c>
      <c r="N36" s="8">
        <f t="shared" si="23"/>
        <v>0</v>
      </c>
      <c r="O36" s="25">
        <f t="shared" si="24"/>
        <v>0</v>
      </c>
      <c r="P36" s="26"/>
      <c r="Q36" s="1"/>
      <c r="R36" s="1"/>
    </row>
    <row r="37" spans="1:18" ht="18" customHeight="1">
      <c r="A37" s="1"/>
      <c r="B37" s="21">
        <v>6</v>
      </c>
      <c r="C37" s="5" t="s">
        <v>185</v>
      </c>
      <c r="D37" s="22"/>
      <c r="E37" s="23"/>
      <c r="F37" s="17"/>
      <c r="G37" s="8" t="str">
        <f t="shared" si="19"/>
        <v>-</v>
      </c>
      <c r="H37" s="23"/>
      <c r="I37" s="8" t="str">
        <f t="shared" si="20"/>
        <v>-</v>
      </c>
      <c r="J37" s="23"/>
      <c r="K37" s="8" t="str">
        <f t="shared" si="21"/>
        <v>-</v>
      </c>
      <c r="L37" s="17"/>
      <c r="M37" s="24">
        <f t="shared" si="22"/>
        <v>0</v>
      </c>
      <c r="N37" s="8">
        <f t="shared" si="23"/>
        <v>0</v>
      </c>
      <c r="O37" s="25">
        <f t="shared" si="24"/>
        <v>0</v>
      </c>
      <c r="P37" s="26"/>
      <c r="Q37" s="1"/>
      <c r="R37" s="1"/>
    </row>
    <row r="38" spans="1:18" ht="19.5" customHeight="1">
      <c r="A38" s="1"/>
      <c r="B38" s="79" t="s">
        <v>186</v>
      </c>
      <c r="C38" s="80"/>
      <c r="D38" s="80"/>
      <c r="E38" s="80"/>
      <c r="F38" s="80"/>
      <c r="G38" s="80"/>
      <c r="H38" s="80"/>
      <c r="I38" s="80"/>
      <c r="J38" s="80"/>
      <c r="K38" s="80"/>
      <c r="L38" s="81"/>
      <c r="M38" s="27">
        <f>SUM(M32:M37)</f>
        <v>0</v>
      </c>
      <c r="N38" s="1"/>
      <c r="O38" s="27">
        <f>SUM(O32:O37)</f>
        <v>0</v>
      </c>
      <c r="P38" s="1"/>
      <c r="Q38" s="1"/>
      <c r="R38" s="1"/>
    </row>
    <row r="39" spans="1:1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8" customHeight="1">
      <c r="A40" s="1"/>
      <c r="B40" s="74" t="s">
        <v>187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1"/>
      <c r="Q40" s="1"/>
      <c r="R40" s="1"/>
    </row>
    <row r="41" spans="1:18" ht="18" customHeight="1">
      <c r="A41" s="1"/>
      <c r="B41" s="21">
        <v>1</v>
      </c>
      <c r="C41" s="5" t="s">
        <v>188</v>
      </c>
      <c r="D41" s="22"/>
      <c r="E41" s="23"/>
      <c r="F41" s="17"/>
      <c r="G41" s="8" t="str">
        <f t="shared" ref="G41:G45" si="25">IF(E41="","-",E41*F41)</f>
        <v>-</v>
      </c>
      <c r="H41" s="23"/>
      <c r="I41" s="8" t="str">
        <f t="shared" ref="I41:I45" si="26">IF(H41="","-",H41*$E$8)</f>
        <v>-</v>
      </c>
      <c r="J41" s="23"/>
      <c r="K41" s="8" t="str">
        <f t="shared" ref="K41:K45" si="27">IF(J41="","-",J41*$G$8)</f>
        <v>-</v>
      </c>
      <c r="L41" s="17"/>
      <c r="M41" s="24">
        <f t="shared" ref="M41:M45" si="28">IFERROR(IF(G41="-",0,G41)+IF(I41="-",0,I41)+IF(K41="-",0,K41)+IF(L41="",0,L41),0)</f>
        <v>0</v>
      </c>
      <c r="N41" s="8">
        <f t="shared" ref="N41:N45" si="29">IFERROR((IF(G41="-",0,G41)*$C$8),0)</f>
        <v>0</v>
      </c>
      <c r="O41" s="25">
        <f t="shared" ref="O41:O45" si="30">IFERROR((IF(G41="-",0,G41)*(1+$C$8)) + (IF(H41="",0,H41)*$P$8) + IF(K41="-",0,K41) + IF(L41="",0,L41),0)</f>
        <v>0</v>
      </c>
      <c r="P41" s="26"/>
      <c r="Q41" s="1"/>
      <c r="R41" s="1"/>
    </row>
    <row r="42" spans="1:18" ht="18" customHeight="1">
      <c r="A42" s="1"/>
      <c r="B42" s="21">
        <v>2</v>
      </c>
      <c r="C42" s="5" t="s">
        <v>189</v>
      </c>
      <c r="D42" s="22"/>
      <c r="E42" s="23"/>
      <c r="F42" s="17"/>
      <c r="G42" s="8" t="str">
        <f t="shared" si="25"/>
        <v>-</v>
      </c>
      <c r="H42" s="23"/>
      <c r="I42" s="8" t="str">
        <f t="shared" si="26"/>
        <v>-</v>
      </c>
      <c r="J42" s="23"/>
      <c r="K42" s="8" t="str">
        <f t="shared" si="27"/>
        <v>-</v>
      </c>
      <c r="L42" s="17"/>
      <c r="M42" s="24">
        <f t="shared" si="28"/>
        <v>0</v>
      </c>
      <c r="N42" s="8">
        <f t="shared" si="29"/>
        <v>0</v>
      </c>
      <c r="O42" s="25">
        <f t="shared" si="30"/>
        <v>0</v>
      </c>
      <c r="P42" s="26"/>
      <c r="Q42" s="1"/>
      <c r="R42" s="1"/>
    </row>
    <row r="43" spans="1:18" ht="18" customHeight="1">
      <c r="A43" s="1"/>
      <c r="B43" s="21">
        <v>3</v>
      </c>
      <c r="C43" s="5" t="s">
        <v>190</v>
      </c>
      <c r="D43" s="22"/>
      <c r="E43" s="23"/>
      <c r="F43" s="17"/>
      <c r="G43" s="8" t="str">
        <f t="shared" si="25"/>
        <v>-</v>
      </c>
      <c r="H43" s="23"/>
      <c r="I43" s="8" t="str">
        <f t="shared" si="26"/>
        <v>-</v>
      </c>
      <c r="J43" s="23"/>
      <c r="K43" s="8" t="str">
        <f t="shared" si="27"/>
        <v>-</v>
      </c>
      <c r="L43" s="17"/>
      <c r="M43" s="24">
        <f t="shared" si="28"/>
        <v>0</v>
      </c>
      <c r="N43" s="8">
        <f t="shared" si="29"/>
        <v>0</v>
      </c>
      <c r="O43" s="25">
        <f t="shared" si="30"/>
        <v>0</v>
      </c>
      <c r="P43" s="26"/>
      <c r="Q43" s="1"/>
      <c r="R43" s="1"/>
    </row>
    <row r="44" spans="1:18" ht="45.75" customHeight="1">
      <c r="A44" s="1"/>
      <c r="B44" s="21">
        <v>4</v>
      </c>
      <c r="C44" s="5" t="s">
        <v>191</v>
      </c>
      <c r="D44" s="22"/>
      <c r="E44" s="23"/>
      <c r="F44" s="17"/>
      <c r="G44" s="8" t="str">
        <f t="shared" si="25"/>
        <v>-</v>
      </c>
      <c r="H44" s="23"/>
      <c r="I44" s="8" t="str">
        <f t="shared" si="26"/>
        <v>-</v>
      </c>
      <c r="J44" s="23"/>
      <c r="K44" s="8" t="str">
        <f t="shared" si="27"/>
        <v>-</v>
      </c>
      <c r="L44" s="17"/>
      <c r="M44" s="24">
        <f t="shared" si="28"/>
        <v>0</v>
      </c>
      <c r="N44" s="8">
        <f t="shared" si="29"/>
        <v>0</v>
      </c>
      <c r="O44" s="25">
        <f t="shared" si="30"/>
        <v>0</v>
      </c>
      <c r="P44" s="26"/>
      <c r="Q44" s="1"/>
      <c r="R44" s="1"/>
    </row>
    <row r="45" spans="1:18" ht="18" customHeight="1">
      <c r="A45" s="1"/>
      <c r="B45" s="21">
        <v>6</v>
      </c>
      <c r="C45" s="5" t="s">
        <v>192</v>
      </c>
      <c r="D45" s="22"/>
      <c r="E45" s="23"/>
      <c r="F45" s="17"/>
      <c r="G45" s="8" t="str">
        <f t="shared" si="25"/>
        <v>-</v>
      </c>
      <c r="H45" s="23"/>
      <c r="I45" s="8" t="str">
        <f t="shared" si="26"/>
        <v>-</v>
      </c>
      <c r="J45" s="23"/>
      <c r="K45" s="8" t="str">
        <f t="shared" si="27"/>
        <v>-</v>
      </c>
      <c r="L45" s="17"/>
      <c r="M45" s="24">
        <f t="shared" si="28"/>
        <v>0</v>
      </c>
      <c r="N45" s="8">
        <f t="shared" si="29"/>
        <v>0</v>
      </c>
      <c r="O45" s="25">
        <f t="shared" si="30"/>
        <v>0</v>
      </c>
      <c r="P45" s="26"/>
      <c r="Q45" s="1"/>
      <c r="R45" s="1"/>
    </row>
    <row r="46" spans="1:18" ht="19.5" customHeight="1">
      <c r="A46" s="1"/>
      <c r="B46" s="75" t="s">
        <v>193</v>
      </c>
      <c r="C46" s="60"/>
      <c r="D46" s="60"/>
      <c r="E46" s="60"/>
      <c r="F46" s="60"/>
      <c r="G46" s="60"/>
      <c r="H46" s="60"/>
      <c r="I46" s="60"/>
      <c r="J46" s="60"/>
      <c r="K46" s="60"/>
      <c r="L46" s="61"/>
      <c r="M46" s="27">
        <f>SUM(M41:M45)</f>
        <v>0</v>
      </c>
      <c r="N46" s="1"/>
      <c r="O46" s="27">
        <f>SUM(O41:O45)</f>
        <v>0</v>
      </c>
      <c r="P46" s="1"/>
      <c r="Q46" s="1"/>
      <c r="R46" s="1"/>
    </row>
    <row r="47" spans="1:1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8" customHeight="1">
      <c r="A48" s="1"/>
      <c r="B48" s="76" t="s">
        <v>194</v>
      </c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8"/>
      <c r="Q48" s="1"/>
      <c r="R48" s="1"/>
    </row>
    <row r="49" spans="1:18" ht="18" customHeight="1">
      <c r="A49" s="1"/>
      <c r="B49" s="21">
        <v>1</v>
      </c>
      <c r="C49" s="5" t="s">
        <v>195</v>
      </c>
      <c r="D49" s="22"/>
      <c r="E49" s="23"/>
      <c r="F49" s="17"/>
      <c r="G49" s="8" t="str">
        <f t="shared" ref="G49:G52" si="31">IF(E49="","-",E49*F49)</f>
        <v>-</v>
      </c>
      <c r="H49" s="23"/>
      <c r="I49" s="8" t="str">
        <f t="shared" ref="I49:I52" si="32">IF(H49="","-",H49*$E$8)</f>
        <v>-</v>
      </c>
      <c r="J49" s="23"/>
      <c r="K49" s="8" t="str">
        <f t="shared" ref="K49:K52" si="33">IF(J49="","-",J49*$G$8)</f>
        <v>-</v>
      </c>
      <c r="L49" s="17"/>
      <c r="M49" s="24">
        <f t="shared" ref="M49:M52" si="34">IFERROR(IF(G49="-",0,G49)+IF(I49="-",0,I49)+IF(K49="-",0,K49)+IF(L49="",0,L49),0)</f>
        <v>0</v>
      </c>
      <c r="N49" s="8">
        <f t="shared" ref="N49:N52" si="35">IFERROR((IF(G49="-",0,G49)*$C$8),0)</f>
        <v>0</v>
      </c>
      <c r="O49" s="25">
        <f t="shared" ref="O49:O52" si="36">IFERROR((IF(G49="-",0,G49)*(1+$C$8)) + (IF(H49="",0,H49)*$P$8) + IF(K49="-",0,K49) + IF(L49="",0,L49),0)</f>
        <v>0</v>
      </c>
      <c r="P49" s="26"/>
      <c r="Q49" s="1"/>
      <c r="R49" s="1"/>
    </row>
    <row r="50" spans="1:18" ht="18" customHeight="1">
      <c r="A50" s="1"/>
      <c r="B50" s="21">
        <v>2</v>
      </c>
      <c r="C50" s="5" t="s">
        <v>196</v>
      </c>
      <c r="D50" s="22"/>
      <c r="E50" s="23"/>
      <c r="F50" s="17"/>
      <c r="G50" s="8" t="str">
        <f t="shared" si="31"/>
        <v>-</v>
      </c>
      <c r="H50" s="23"/>
      <c r="I50" s="8" t="str">
        <f t="shared" si="32"/>
        <v>-</v>
      </c>
      <c r="J50" s="23"/>
      <c r="K50" s="8" t="str">
        <f t="shared" si="33"/>
        <v>-</v>
      </c>
      <c r="L50" s="17"/>
      <c r="M50" s="24">
        <f t="shared" si="34"/>
        <v>0</v>
      </c>
      <c r="N50" s="8">
        <f t="shared" si="35"/>
        <v>0</v>
      </c>
      <c r="O50" s="25">
        <f t="shared" si="36"/>
        <v>0</v>
      </c>
      <c r="P50" s="26"/>
      <c r="Q50" s="1"/>
      <c r="R50" s="1"/>
    </row>
    <row r="51" spans="1:18" ht="18" customHeight="1">
      <c r="A51" s="1"/>
      <c r="B51" s="21">
        <v>3</v>
      </c>
      <c r="C51" s="5" t="s">
        <v>197</v>
      </c>
      <c r="D51" s="22"/>
      <c r="E51" s="23"/>
      <c r="F51" s="17"/>
      <c r="G51" s="8" t="str">
        <f t="shared" si="31"/>
        <v>-</v>
      </c>
      <c r="H51" s="23"/>
      <c r="I51" s="8" t="str">
        <f t="shared" si="32"/>
        <v>-</v>
      </c>
      <c r="J51" s="23"/>
      <c r="K51" s="8" t="str">
        <f t="shared" si="33"/>
        <v>-</v>
      </c>
      <c r="L51" s="17"/>
      <c r="M51" s="24">
        <f t="shared" si="34"/>
        <v>0</v>
      </c>
      <c r="N51" s="8">
        <f t="shared" si="35"/>
        <v>0</v>
      </c>
      <c r="O51" s="25">
        <f t="shared" si="36"/>
        <v>0</v>
      </c>
      <c r="P51" s="26"/>
      <c r="Q51" s="1"/>
      <c r="R51" s="1"/>
    </row>
    <row r="52" spans="1:18" ht="18" customHeight="1">
      <c r="A52" s="1"/>
      <c r="B52" s="21">
        <v>4</v>
      </c>
      <c r="C52" s="5" t="s">
        <v>198</v>
      </c>
      <c r="D52" s="22"/>
      <c r="E52" s="23"/>
      <c r="F52" s="17"/>
      <c r="G52" s="8" t="str">
        <f t="shared" si="31"/>
        <v>-</v>
      </c>
      <c r="H52" s="23"/>
      <c r="I52" s="8" t="str">
        <f t="shared" si="32"/>
        <v>-</v>
      </c>
      <c r="J52" s="23"/>
      <c r="K52" s="8" t="str">
        <f t="shared" si="33"/>
        <v>-</v>
      </c>
      <c r="L52" s="17"/>
      <c r="M52" s="24">
        <f t="shared" si="34"/>
        <v>0</v>
      </c>
      <c r="N52" s="8">
        <f t="shared" si="35"/>
        <v>0</v>
      </c>
      <c r="O52" s="25">
        <f t="shared" si="36"/>
        <v>0</v>
      </c>
      <c r="P52" s="26"/>
      <c r="Q52" s="1"/>
      <c r="R52" s="1"/>
    </row>
    <row r="53" spans="1:18" ht="19.5" customHeight="1">
      <c r="A53" s="1"/>
      <c r="B53" s="79" t="s">
        <v>199</v>
      </c>
      <c r="C53" s="80"/>
      <c r="D53" s="80"/>
      <c r="E53" s="80"/>
      <c r="F53" s="80"/>
      <c r="G53" s="80"/>
      <c r="H53" s="80"/>
      <c r="I53" s="80"/>
      <c r="J53" s="80"/>
      <c r="K53" s="80"/>
      <c r="L53" s="81"/>
      <c r="M53" s="27">
        <f>SUM(M49:M52)</f>
        <v>0</v>
      </c>
      <c r="N53" s="1"/>
      <c r="O53" s="27">
        <f>SUM(O49:O52)</f>
        <v>0</v>
      </c>
      <c r="P53" s="1"/>
      <c r="Q53" s="1"/>
      <c r="R53" s="1"/>
    </row>
    <row r="54" spans="1:1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8" customHeight="1">
      <c r="A55" s="1"/>
      <c r="B55" s="74" t="s">
        <v>200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1"/>
      <c r="Q55" s="1"/>
      <c r="R55" s="1"/>
    </row>
    <row r="56" spans="1:18" ht="18" customHeight="1">
      <c r="A56" s="1"/>
      <c r="B56" s="21">
        <v>1</v>
      </c>
      <c r="C56" s="5" t="s">
        <v>201</v>
      </c>
      <c r="D56" s="22"/>
      <c r="E56" s="23"/>
      <c r="F56" s="17"/>
      <c r="G56" s="8" t="str">
        <f t="shared" ref="G56:G61" si="37">IF(E56="","-",E56*F56)</f>
        <v>-</v>
      </c>
      <c r="H56" s="23"/>
      <c r="I56" s="8" t="str">
        <f t="shared" ref="I56:I61" si="38">IF(H56="","-",H56*$E$8)</f>
        <v>-</v>
      </c>
      <c r="J56" s="23"/>
      <c r="K56" s="8" t="str">
        <f t="shared" ref="K56:K61" si="39">IF(J56="","-",J56*$G$8)</f>
        <v>-</v>
      </c>
      <c r="L56" s="17"/>
      <c r="M56" s="24">
        <f t="shared" ref="M56:M61" si="40">IFERROR(IF(G56="-",0,G56)+IF(I56="-",0,I56)+IF(K56="-",0,K56)+IF(L56="",0,L56),0)</f>
        <v>0</v>
      </c>
      <c r="N56" s="8">
        <f t="shared" ref="N56:N61" si="41">IFERROR((IF(G56="-",0,G56)*$C$8),0)</f>
        <v>0</v>
      </c>
      <c r="O56" s="25">
        <f t="shared" ref="O56:O61" si="42">IFERROR((IF(G56="-",0,G56)*(1+$C$8)) + (IF(H56="",0,H56)*$P$8) + IF(K56="-",0,K56) + IF(L56="",0,L56),0)</f>
        <v>0</v>
      </c>
      <c r="P56" s="26"/>
      <c r="Q56" s="1"/>
      <c r="R56" s="1"/>
    </row>
    <row r="57" spans="1:18" ht="18" customHeight="1">
      <c r="A57" s="1"/>
      <c r="B57" s="21">
        <v>2</v>
      </c>
      <c r="C57" s="5" t="s">
        <v>202</v>
      </c>
      <c r="D57" s="22"/>
      <c r="E57" s="23"/>
      <c r="F57" s="17"/>
      <c r="G57" s="8" t="str">
        <f t="shared" si="37"/>
        <v>-</v>
      </c>
      <c r="H57" s="23"/>
      <c r="I57" s="8" t="str">
        <f t="shared" si="38"/>
        <v>-</v>
      </c>
      <c r="J57" s="23"/>
      <c r="K57" s="8" t="str">
        <f t="shared" si="39"/>
        <v>-</v>
      </c>
      <c r="L57" s="17"/>
      <c r="M57" s="24">
        <f t="shared" si="40"/>
        <v>0</v>
      </c>
      <c r="N57" s="8">
        <f t="shared" si="41"/>
        <v>0</v>
      </c>
      <c r="O57" s="25">
        <f t="shared" si="42"/>
        <v>0</v>
      </c>
      <c r="P57" s="26"/>
      <c r="Q57" s="1"/>
      <c r="R57" s="1"/>
    </row>
    <row r="58" spans="1:18" ht="18" customHeight="1">
      <c r="A58" s="1"/>
      <c r="B58" s="21">
        <v>3</v>
      </c>
      <c r="C58" s="5" t="s">
        <v>203</v>
      </c>
      <c r="D58" s="22"/>
      <c r="E58" s="23"/>
      <c r="F58" s="17"/>
      <c r="G58" s="8" t="str">
        <f t="shared" si="37"/>
        <v>-</v>
      </c>
      <c r="H58" s="23"/>
      <c r="I58" s="8" t="str">
        <f t="shared" si="38"/>
        <v>-</v>
      </c>
      <c r="J58" s="23"/>
      <c r="K58" s="8" t="str">
        <f t="shared" si="39"/>
        <v>-</v>
      </c>
      <c r="L58" s="17"/>
      <c r="M58" s="24">
        <f t="shared" si="40"/>
        <v>0</v>
      </c>
      <c r="N58" s="8">
        <f t="shared" si="41"/>
        <v>0</v>
      </c>
      <c r="O58" s="25">
        <f t="shared" si="42"/>
        <v>0</v>
      </c>
      <c r="P58" s="26"/>
      <c r="Q58" s="1"/>
      <c r="R58" s="1"/>
    </row>
    <row r="59" spans="1:18" ht="18" customHeight="1">
      <c r="A59" s="1"/>
      <c r="B59" s="21">
        <v>4</v>
      </c>
      <c r="C59" s="5" t="s">
        <v>204</v>
      </c>
      <c r="D59" s="22"/>
      <c r="E59" s="23"/>
      <c r="F59" s="17"/>
      <c r="G59" s="8" t="str">
        <f t="shared" si="37"/>
        <v>-</v>
      </c>
      <c r="H59" s="23"/>
      <c r="I59" s="8" t="str">
        <f t="shared" si="38"/>
        <v>-</v>
      </c>
      <c r="J59" s="23"/>
      <c r="K59" s="8" t="str">
        <f t="shared" si="39"/>
        <v>-</v>
      </c>
      <c r="L59" s="17"/>
      <c r="M59" s="24">
        <f t="shared" si="40"/>
        <v>0</v>
      </c>
      <c r="N59" s="8">
        <f t="shared" si="41"/>
        <v>0</v>
      </c>
      <c r="O59" s="25">
        <f t="shared" si="42"/>
        <v>0</v>
      </c>
      <c r="P59" s="26"/>
      <c r="Q59" s="1"/>
      <c r="R59" s="1"/>
    </row>
    <row r="60" spans="1:18" ht="18" customHeight="1">
      <c r="A60" s="1"/>
      <c r="B60" s="21">
        <v>5</v>
      </c>
      <c r="C60" s="5" t="s">
        <v>205</v>
      </c>
      <c r="D60" s="22"/>
      <c r="E60" s="23"/>
      <c r="F60" s="17"/>
      <c r="G60" s="8" t="str">
        <f t="shared" si="37"/>
        <v>-</v>
      </c>
      <c r="H60" s="23"/>
      <c r="I60" s="8" t="str">
        <f t="shared" si="38"/>
        <v>-</v>
      </c>
      <c r="J60" s="23"/>
      <c r="K60" s="8" t="str">
        <f t="shared" si="39"/>
        <v>-</v>
      </c>
      <c r="L60" s="17"/>
      <c r="M60" s="24">
        <f t="shared" si="40"/>
        <v>0</v>
      </c>
      <c r="N60" s="8">
        <f t="shared" si="41"/>
        <v>0</v>
      </c>
      <c r="O60" s="25">
        <f t="shared" si="42"/>
        <v>0</v>
      </c>
      <c r="P60" s="26"/>
      <c r="Q60" s="1"/>
      <c r="R60" s="1"/>
    </row>
    <row r="61" spans="1:18" ht="18" customHeight="1">
      <c r="A61" s="1"/>
      <c r="B61" s="21">
        <v>6</v>
      </c>
      <c r="C61" s="5" t="s">
        <v>206</v>
      </c>
      <c r="D61" s="22"/>
      <c r="E61" s="23"/>
      <c r="F61" s="17"/>
      <c r="G61" s="8" t="str">
        <f t="shared" si="37"/>
        <v>-</v>
      </c>
      <c r="H61" s="23"/>
      <c r="I61" s="8" t="str">
        <f t="shared" si="38"/>
        <v>-</v>
      </c>
      <c r="J61" s="23"/>
      <c r="K61" s="8" t="str">
        <f t="shared" si="39"/>
        <v>-</v>
      </c>
      <c r="L61" s="17"/>
      <c r="M61" s="24">
        <f t="shared" si="40"/>
        <v>0</v>
      </c>
      <c r="N61" s="8">
        <f t="shared" si="41"/>
        <v>0</v>
      </c>
      <c r="O61" s="25">
        <f t="shared" si="42"/>
        <v>0</v>
      </c>
      <c r="P61" s="26"/>
      <c r="Q61" s="1"/>
      <c r="R61" s="1"/>
    </row>
    <row r="62" spans="1:18" ht="19.5" customHeight="1">
      <c r="A62" s="1"/>
      <c r="B62" s="75" t="s">
        <v>207</v>
      </c>
      <c r="C62" s="60"/>
      <c r="D62" s="60"/>
      <c r="E62" s="60"/>
      <c r="F62" s="60"/>
      <c r="G62" s="60"/>
      <c r="H62" s="60"/>
      <c r="I62" s="60"/>
      <c r="J62" s="60"/>
      <c r="K62" s="60"/>
      <c r="L62" s="61"/>
      <c r="M62" s="27">
        <f>SUM(M56:M61)</f>
        <v>0</v>
      </c>
      <c r="N62" s="1"/>
      <c r="O62" s="27">
        <f>SUM(O56:O61)</f>
        <v>0</v>
      </c>
      <c r="P62" s="1"/>
      <c r="Q62" s="1"/>
      <c r="R62" s="1"/>
    </row>
    <row r="63" spans="1:1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6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85" t="s">
        <v>208</v>
      </c>
      <c r="O65" s="63"/>
      <c r="P65" s="64"/>
      <c r="Q65" s="28">
        <f>M15+M22+M29+M38+M46+M53+M62</f>
        <v>0</v>
      </c>
      <c r="R65" s="1"/>
    </row>
    <row r="66" spans="1:18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85" t="s">
        <v>209</v>
      </c>
      <c r="O66" s="63"/>
      <c r="P66" s="64"/>
      <c r="Q66" s="28">
        <f>O15+O22+O29+O38+O46+O53+O62</f>
        <v>0</v>
      </c>
      <c r="R66" s="1"/>
    </row>
    <row r="67" spans="1:18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82"/>
      <c r="O67" s="63"/>
      <c r="P67" s="64"/>
      <c r="Q67" s="1"/>
      <c r="R67" s="1"/>
    </row>
    <row r="68" spans="1:1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82" t="s">
        <v>210</v>
      </c>
      <c r="O68" s="63"/>
      <c r="P68" s="64"/>
      <c r="Q68" s="29">
        <f>Q8/(1-$O$8)</f>
        <v>0</v>
      </c>
      <c r="R68" s="1"/>
    </row>
    <row r="69" spans="1:18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82" t="s">
        <v>211</v>
      </c>
      <c r="O69" s="63"/>
      <c r="P69" s="64"/>
      <c r="Q69" s="29">
        <f>Q7-Q8</f>
        <v>0</v>
      </c>
      <c r="R69" s="1"/>
    </row>
    <row r="70" spans="1:18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82" t="s">
        <v>98</v>
      </c>
      <c r="O70" s="63"/>
      <c r="P70" s="64"/>
      <c r="Q70" s="30">
        <f>IF(Q7=0,0,(Q7-Q8)/Q7)</f>
        <v>0</v>
      </c>
      <c r="R70" s="1"/>
    </row>
    <row r="71" spans="1:18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82" t="s">
        <v>212</v>
      </c>
      <c r="O71" s="63"/>
      <c r="P71" s="64"/>
      <c r="Q71" s="31" t="str">
        <f>IF(Q10&gt;=$O$8,"✅ ON TARGET","⚠️ BELOW TARGET")</f>
        <v>⚠️ BELOW TARGET</v>
      </c>
      <c r="R71" s="1"/>
    </row>
    <row r="72" spans="1:1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" customHeight="1">
      <c r="A74" s="1"/>
      <c r="B74" s="83" t="s">
        <v>213</v>
      </c>
      <c r="C74" s="84"/>
      <c r="D74" s="84"/>
      <c r="E74" s="84"/>
      <c r="F74" s="84"/>
      <c r="G74" s="84"/>
      <c r="H74" s="84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5.75" customHeight="1"/>
    <row r="276" spans="1:18" ht="15.75" customHeight="1"/>
    <row r="277" spans="1:18" ht="15.75" customHeight="1"/>
    <row r="278" spans="1:18" ht="15.75" customHeight="1"/>
    <row r="279" spans="1:18" ht="15.75" customHeight="1"/>
    <row r="280" spans="1:18" ht="15.75" customHeight="1"/>
    <row r="281" spans="1:18" ht="15.75" customHeight="1"/>
    <row r="282" spans="1:18" ht="15.75" customHeight="1"/>
    <row r="283" spans="1:18" ht="15.75" customHeight="1"/>
    <row r="284" spans="1:18" ht="15.75" customHeight="1"/>
    <row r="285" spans="1:18" ht="15.75" customHeight="1"/>
    <row r="286" spans="1:18" ht="15.75" customHeight="1"/>
    <row r="287" spans="1:18" ht="15.75" customHeight="1"/>
    <row r="288" spans="1:1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N71:P71"/>
    <mergeCell ref="B74:H74"/>
    <mergeCell ref="B53:L53"/>
    <mergeCell ref="B62:L62"/>
    <mergeCell ref="N65:P65"/>
    <mergeCell ref="N66:P66"/>
    <mergeCell ref="N67:P67"/>
    <mergeCell ref="N68:P68"/>
    <mergeCell ref="N69:P69"/>
    <mergeCell ref="B40:P40"/>
    <mergeCell ref="B46:L46"/>
    <mergeCell ref="B48:P48"/>
    <mergeCell ref="B55:P55"/>
    <mergeCell ref="N70:P70"/>
    <mergeCell ref="B22:L22"/>
    <mergeCell ref="B24:P24"/>
    <mergeCell ref="B29:L29"/>
    <mergeCell ref="B31:P31"/>
    <mergeCell ref="B38:L38"/>
    <mergeCell ref="C6:P6"/>
    <mergeCell ref="B7:P7"/>
    <mergeCell ref="B10:P10"/>
    <mergeCell ref="B15:L15"/>
    <mergeCell ref="B17:P17"/>
    <mergeCell ref="H4:J4"/>
    <mergeCell ref="H5:J5"/>
    <mergeCell ref="B1:Q1"/>
    <mergeCell ref="C2:F2"/>
    <mergeCell ref="H2:J2"/>
    <mergeCell ref="C3:F3"/>
    <mergeCell ref="H3:J3"/>
    <mergeCell ref="C4:F4"/>
    <mergeCell ref="C5:F5"/>
  </mergeCells>
  <dataValidations count="1">
    <dataValidation type="list" allowBlank="1" sqref="D11:D14 D18:D21 D25:D28 D32:D37 D41:D45 D49:D52 D56:D61" xr:uid="{00000000-0002-0000-0200-000000000000}">
      <formula1>"sqft,linft,cubic yd,load,each,lump sum,hour,bag,ton"</formula1>
    </dataValidation>
  </dataValidation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showGridLines="0" workbookViewId="0"/>
  </sheetViews>
  <sheetFormatPr defaultColWidth="14.42578125" defaultRowHeight="15" customHeight="1"/>
  <cols>
    <col min="1" max="1" width="3" customWidth="1"/>
    <col min="2" max="2" width="30" customWidth="1"/>
    <col min="3" max="3" width="12" customWidth="1"/>
    <col min="4" max="4" width="14" customWidth="1"/>
    <col min="5" max="5" width="35.28515625" customWidth="1"/>
    <col min="6" max="6" width="3" customWidth="1"/>
  </cols>
  <sheetData>
    <row r="1" spans="1:6" ht="49.5" customHeight="1">
      <c r="A1" s="1"/>
      <c r="B1" s="86" t="s">
        <v>214</v>
      </c>
      <c r="C1" s="60"/>
      <c r="D1" s="60"/>
      <c r="E1" s="61"/>
      <c r="F1" s="1"/>
    </row>
    <row r="2" spans="1:6" ht="15.75" customHeight="1">
      <c r="A2" s="1"/>
      <c r="B2" s="87" t="s">
        <v>215</v>
      </c>
      <c r="C2" s="60"/>
      <c r="D2" s="60"/>
      <c r="E2" s="61"/>
      <c r="F2" s="1"/>
    </row>
    <row r="3" spans="1:6">
      <c r="A3" s="1"/>
      <c r="B3" s="1"/>
      <c r="C3" s="1"/>
      <c r="D3" s="1"/>
      <c r="E3" s="1"/>
      <c r="F3" s="1"/>
    </row>
    <row r="4" spans="1:6" ht="18" customHeight="1">
      <c r="A4" s="1"/>
      <c r="B4" s="88" t="s">
        <v>216</v>
      </c>
      <c r="C4" s="61"/>
      <c r="D4" s="88" t="s">
        <v>217</v>
      </c>
      <c r="E4" s="61"/>
      <c r="F4" s="1"/>
    </row>
    <row r="5" spans="1:6" ht="18" customHeight="1">
      <c r="A5" s="1"/>
      <c r="B5" s="32" t="s">
        <v>93</v>
      </c>
      <c r="C5" s="33">
        <f>'📊 Takeoff &amp; Quote'!C2</f>
        <v>0</v>
      </c>
      <c r="D5" s="32" t="s">
        <v>136</v>
      </c>
      <c r="E5" s="33">
        <f>'📊 Takeoff &amp; Quote'!H5</f>
        <v>0</v>
      </c>
      <c r="F5" s="1"/>
    </row>
    <row r="6" spans="1:6" ht="18" customHeight="1">
      <c r="A6" s="1"/>
      <c r="B6" s="32" t="s">
        <v>132</v>
      </c>
      <c r="C6" s="33">
        <f>'📊 Takeoff &amp; Quote'!C3</f>
        <v>0</v>
      </c>
      <c r="D6" s="32" t="s">
        <v>218</v>
      </c>
      <c r="E6" s="33">
        <f>'📊 Takeoff &amp; Quote'!H4</f>
        <v>0</v>
      </c>
      <c r="F6" s="1"/>
    </row>
    <row r="7" spans="1:6" ht="18" customHeight="1">
      <c r="A7" s="1"/>
      <c r="B7" s="32" t="s">
        <v>133</v>
      </c>
      <c r="C7" s="33">
        <f>'📊 Takeoff &amp; Quote'!C4</f>
        <v>0</v>
      </c>
      <c r="D7" s="32" t="s">
        <v>219</v>
      </c>
      <c r="E7" s="34"/>
      <c r="F7" s="1"/>
    </row>
    <row r="8" spans="1:6" ht="18" customHeight="1">
      <c r="A8" s="1"/>
      <c r="B8" s="32" t="s">
        <v>135</v>
      </c>
      <c r="C8" s="33">
        <f>'📊 Takeoff &amp; Quote'!C5</f>
        <v>0</v>
      </c>
      <c r="D8" s="32" t="s">
        <v>220</v>
      </c>
      <c r="E8" s="33">
        <f>'📊 Takeoff &amp; Quote'!H3</f>
        <v>0</v>
      </c>
      <c r="F8" s="1"/>
    </row>
    <row r="9" spans="1:6" ht="18" customHeight="1">
      <c r="A9" s="1"/>
      <c r="B9" s="88" t="s">
        <v>221</v>
      </c>
      <c r="C9" s="60"/>
      <c r="D9" s="60"/>
      <c r="E9" s="61"/>
      <c r="F9" s="1"/>
    </row>
    <row r="10" spans="1:6" ht="39.75" customHeight="1">
      <c r="A10" s="1"/>
      <c r="B10" s="89">
        <f>'📊 Takeoff &amp; Quote'!C6</f>
        <v>0</v>
      </c>
      <c r="C10" s="63"/>
      <c r="D10" s="63"/>
      <c r="E10" s="64"/>
      <c r="F10" s="1"/>
    </row>
    <row r="11" spans="1:6" ht="21.75" customHeight="1">
      <c r="A11" s="1"/>
      <c r="B11" s="35" t="s">
        <v>222</v>
      </c>
      <c r="C11" s="35" t="s">
        <v>223</v>
      </c>
      <c r="D11" s="35" t="s">
        <v>224</v>
      </c>
      <c r="E11" s="35" t="s">
        <v>225</v>
      </c>
      <c r="F11" s="1"/>
    </row>
    <row r="12" spans="1:6" ht="18" customHeight="1">
      <c r="A12" s="1"/>
      <c r="B12" s="36"/>
      <c r="C12" s="36"/>
      <c r="D12" s="37"/>
      <c r="E12" s="38"/>
      <c r="F12" s="1"/>
    </row>
    <row r="13" spans="1:6" ht="18" customHeight="1">
      <c r="A13" s="1"/>
      <c r="B13" s="36"/>
      <c r="C13" s="36"/>
      <c r="D13" s="37"/>
      <c r="E13" s="38"/>
      <c r="F13" s="1"/>
    </row>
    <row r="14" spans="1:6" ht="18" customHeight="1">
      <c r="A14" s="1"/>
      <c r="B14" s="36"/>
      <c r="C14" s="36"/>
      <c r="D14" s="37"/>
      <c r="E14" s="38"/>
      <c r="F14" s="1"/>
    </row>
    <row r="15" spans="1:6" ht="18" customHeight="1">
      <c r="A15" s="1"/>
      <c r="B15" s="36"/>
      <c r="C15" s="36"/>
      <c r="D15" s="37"/>
      <c r="E15" s="38"/>
      <c r="F15" s="1"/>
    </row>
    <row r="16" spans="1:6" ht="18" customHeight="1">
      <c r="A16" s="1"/>
      <c r="B16" s="36"/>
      <c r="C16" s="36"/>
      <c r="D16" s="37"/>
      <c r="E16" s="38"/>
      <c r="F16" s="1"/>
    </row>
    <row r="17" spans="1:6" ht="18" customHeight="1">
      <c r="A17" s="1"/>
      <c r="B17" s="36"/>
      <c r="C17" s="36"/>
      <c r="D17" s="37"/>
      <c r="E17" s="38"/>
      <c r="F17" s="1"/>
    </row>
    <row r="18" spans="1:6" ht="18" customHeight="1">
      <c r="A18" s="1"/>
      <c r="B18" s="36"/>
      <c r="C18" s="36"/>
      <c r="D18" s="37"/>
      <c r="E18" s="38"/>
      <c r="F18" s="1"/>
    </row>
    <row r="19" spans="1:6" ht="18" customHeight="1">
      <c r="A19" s="1"/>
      <c r="B19" s="36"/>
      <c r="C19" s="36"/>
      <c r="D19" s="37"/>
      <c r="E19" s="38"/>
      <c r="F19" s="1"/>
    </row>
    <row r="20" spans="1:6" ht="18" customHeight="1">
      <c r="A20" s="1"/>
      <c r="B20" s="36"/>
      <c r="C20" s="36"/>
      <c r="D20" s="37"/>
      <c r="E20" s="38"/>
      <c r="F20" s="1"/>
    </row>
    <row r="21" spans="1:6" ht="18" customHeight="1">
      <c r="A21" s="1"/>
      <c r="B21" s="36"/>
      <c r="C21" s="36"/>
      <c r="D21" s="37"/>
      <c r="E21" s="38"/>
      <c r="F21" s="1"/>
    </row>
    <row r="22" spans="1:6" ht="18" customHeight="1">
      <c r="A22" s="1"/>
      <c r="B22" s="36"/>
      <c r="C22" s="36"/>
      <c r="D22" s="37"/>
      <c r="E22" s="38"/>
      <c r="F22" s="1"/>
    </row>
    <row r="23" spans="1:6" ht="18" customHeight="1">
      <c r="A23" s="1"/>
      <c r="B23" s="36"/>
      <c r="C23" s="36"/>
      <c r="D23" s="37"/>
      <c r="E23" s="38"/>
      <c r="F23" s="1"/>
    </row>
    <row r="24" spans="1:6" ht="18" customHeight="1">
      <c r="A24" s="1"/>
      <c r="B24" s="36"/>
      <c r="C24" s="36"/>
      <c r="D24" s="37"/>
      <c r="E24" s="38"/>
      <c r="F24" s="1"/>
    </row>
    <row r="25" spans="1:6" ht="18" customHeight="1">
      <c r="A25" s="1"/>
      <c r="B25" s="36"/>
      <c r="C25" s="36"/>
      <c r="D25" s="37"/>
      <c r="E25" s="38"/>
      <c r="F25" s="1"/>
    </row>
    <row r="26" spans="1:6" ht="18" customHeight="1">
      <c r="A26" s="1"/>
      <c r="B26" s="36"/>
      <c r="C26" s="36"/>
      <c r="D26" s="37"/>
      <c r="E26" s="38"/>
      <c r="F26" s="1"/>
    </row>
    <row r="27" spans="1:6" ht="18" customHeight="1">
      <c r="A27" s="1"/>
      <c r="B27" s="36"/>
      <c r="C27" s="36"/>
      <c r="D27" s="37"/>
      <c r="E27" s="38"/>
      <c r="F27" s="1"/>
    </row>
    <row r="28" spans="1:6" ht="18" customHeight="1">
      <c r="A28" s="1"/>
      <c r="B28" s="36"/>
      <c r="C28" s="36"/>
      <c r="D28" s="37"/>
      <c r="E28" s="38"/>
      <c r="F28" s="1"/>
    </row>
    <row r="29" spans="1:6" ht="18" customHeight="1">
      <c r="A29" s="1"/>
      <c r="B29" s="36"/>
      <c r="C29" s="36"/>
      <c r="D29" s="37"/>
      <c r="E29" s="38"/>
      <c r="F29" s="1"/>
    </row>
    <row r="30" spans="1:6" ht="18" customHeight="1">
      <c r="A30" s="1"/>
      <c r="B30" s="36"/>
      <c r="C30" s="36"/>
      <c r="D30" s="37"/>
      <c r="E30" s="38"/>
      <c r="F30" s="1"/>
    </row>
    <row r="31" spans="1:6" ht="18" customHeight="1">
      <c r="A31" s="1"/>
      <c r="B31" s="36"/>
      <c r="C31" s="36"/>
      <c r="D31" s="37"/>
      <c r="E31" s="38"/>
      <c r="F31" s="1"/>
    </row>
    <row r="32" spans="1:6" ht="15.75" customHeight="1">
      <c r="A32" s="1"/>
      <c r="B32" s="1"/>
      <c r="C32" s="1"/>
      <c r="D32" s="1"/>
      <c r="E32" s="1"/>
      <c r="F32" s="1"/>
    </row>
    <row r="33" spans="1:6" ht="6" customHeight="1">
      <c r="A33" s="1"/>
      <c r="B33" s="1"/>
      <c r="C33" s="1"/>
      <c r="D33" s="1"/>
      <c r="E33" s="1"/>
      <c r="F33" s="1"/>
    </row>
    <row r="34" spans="1:6" ht="19.5" customHeight="1">
      <c r="A34" s="1"/>
      <c r="B34" s="90" t="s">
        <v>226</v>
      </c>
      <c r="C34" s="63"/>
      <c r="D34" s="64"/>
      <c r="E34" s="39">
        <f>SUM(E12:E32)</f>
        <v>0</v>
      </c>
      <c r="F34" s="1"/>
    </row>
    <row r="35" spans="1:6" ht="19.5" customHeight="1">
      <c r="A35" s="1"/>
      <c r="B35" s="90" t="s">
        <v>227</v>
      </c>
      <c r="C35" s="63"/>
      <c r="D35" s="64"/>
      <c r="E35" s="39">
        <f>E34*0.05</f>
        <v>0</v>
      </c>
      <c r="F35" s="1"/>
    </row>
    <row r="36" spans="1:6" ht="19.5" customHeight="1">
      <c r="A36" s="1"/>
      <c r="B36" s="93" t="s">
        <v>228</v>
      </c>
      <c r="C36" s="63"/>
      <c r="D36" s="64"/>
      <c r="E36" s="40">
        <f>E34+E35</f>
        <v>0</v>
      </c>
      <c r="F36" s="1"/>
    </row>
    <row r="37" spans="1:6" ht="15.75" customHeight="1">
      <c r="A37" s="1"/>
      <c r="B37" s="1"/>
      <c r="C37" s="1"/>
      <c r="D37" s="1"/>
      <c r="E37" s="1"/>
      <c r="F37" s="1"/>
    </row>
    <row r="38" spans="1:6" ht="18" customHeight="1">
      <c r="A38" s="1"/>
      <c r="B38" s="94" t="s">
        <v>229</v>
      </c>
      <c r="C38" s="84"/>
      <c r="D38" s="84"/>
      <c r="E38" s="84"/>
      <c r="F38" s="1"/>
    </row>
    <row r="39" spans="1:6" ht="18" customHeight="1">
      <c r="A39" s="1"/>
      <c r="B39" s="83" t="s">
        <v>230</v>
      </c>
      <c r="C39" s="84"/>
      <c r="D39" s="84"/>
      <c r="E39" s="84"/>
      <c r="F39" s="1"/>
    </row>
    <row r="40" spans="1:6" ht="15.75" customHeight="1">
      <c r="A40" s="1"/>
      <c r="B40" s="1"/>
      <c r="C40" s="1"/>
      <c r="D40" s="1"/>
      <c r="E40" s="1"/>
      <c r="F40" s="1"/>
    </row>
    <row r="41" spans="1:6" ht="18" customHeight="1">
      <c r="A41" s="1"/>
      <c r="B41" s="88" t="s">
        <v>231</v>
      </c>
      <c r="C41" s="60"/>
      <c r="D41" s="60"/>
      <c r="E41" s="61"/>
      <c r="F41" s="1"/>
    </row>
    <row r="42" spans="1:6" ht="15.75" customHeight="1">
      <c r="A42" s="1"/>
      <c r="B42" s="91" t="s">
        <v>232</v>
      </c>
      <c r="C42" s="63"/>
      <c r="D42" s="63"/>
      <c r="E42" s="64"/>
      <c r="F42" s="1"/>
    </row>
    <row r="43" spans="1:6" ht="15.75" customHeight="1">
      <c r="A43" s="1"/>
      <c r="B43" s="91" t="s">
        <v>233</v>
      </c>
      <c r="C43" s="63"/>
      <c r="D43" s="63"/>
      <c r="E43" s="64"/>
      <c r="F43" s="1"/>
    </row>
    <row r="44" spans="1:6" ht="15.75" customHeight="1">
      <c r="A44" s="1"/>
      <c r="B44" s="91" t="s">
        <v>234</v>
      </c>
      <c r="C44" s="63"/>
      <c r="D44" s="63"/>
      <c r="E44" s="64"/>
      <c r="F44" s="1"/>
    </row>
    <row r="45" spans="1:6" ht="15.75" customHeight="1">
      <c r="A45" s="1"/>
      <c r="B45" s="91" t="s">
        <v>235</v>
      </c>
      <c r="C45" s="63"/>
      <c r="D45" s="63"/>
      <c r="E45" s="64"/>
      <c r="F45" s="1"/>
    </row>
    <row r="46" spans="1:6" ht="15.75" customHeight="1">
      <c r="A46" s="1"/>
      <c r="B46" s="91" t="s">
        <v>236</v>
      </c>
      <c r="C46" s="63"/>
      <c r="D46" s="63"/>
      <c r="E46" s="64"/>
      <c r="F46" s="1"/>
    </row>
    <row r="47" spans="1:6" ht="15.75" customHeight="1">
      <c r="A47" s="1"/>
      <c r="B47" s="1"/>
      <c r="C47" s="1"/>
      <c r="D47" s="1"/>
      <c r="E47" s="1"/>
      <c r="F47" s="1"/>
    </row>
    <row r="48" spans="1:6" ht="18" customHeight="1">
      <c r="A48" s="1"/>
      <c r="B48" s="88" t="s">
        <v>237</v>
      </c>
      <c r="C48" s="60"/>
      <c r="D48" s="60"/>
      <c r="E48" s="61"/>
      <c r="F48" s="1"/>
    </row>
    <row r="49" spans="1:6" ht="21.75" customHeight="1">
      <c r="A49" s="1"/>
      <c r="B49" s="92" t="s">
        <v>238</v>
      </c>
      <c r="C49" s="84"/>
      <c r="D49" s="1"/>
      <c r="E49" s="1"/>
      <c r="F49" s="1"/>
    </row>
    <row r="50" spans="1:6" ht="21.75" customHeight="1">
      <c r="A50" s="1"/>
      <c r="B50" s="92" t="s">
        <v>239</v>
      </c>
      <c r="C50" s="84"/>
      <c r="D50" s="41" t="s">
        <v>240</v>
      </c>
      <c r="E50" s="1"/>
      <c r="F50" s="1"/>
    </row>
    <row r="51" spans="1:6" ht="21.75" customHeight="1">
      <c r="A51" s="1"/>
      <c r="B51" s="92" t="s">
        <v>241</v>
      </c>
      <c r="C51" s="84"/>
      <c r="D51" s="1"/>
      <c r="E51" s="1"/>
      <c r="F51" s="1"/>
    </row>
    <row r="52" spans="1:6" ht="15.75" customHeight="1">
      <c r="A52" s="1"/>
      <c r="B52" s="1"/>
      <c r="C52" s="1"/>
      <c r="D52" s="1"/>
      <c r="E52" s="1"/>
      <c r="F52" s="1"/>
    </row>
    <row r="53" spans="1:6" ht="15.75" customHeight="1">
      <c r="A53" s="1"/>
      <c r="B53" s="1"/>
      <c r="C53" s="1"/>
      <c r="D53" s="1"/>
      <c r="E53" s="1"/>
      <c r="F53" s="1"/>
    </row>
    <row r="54" spans="1:6" ht="15.75" customHeight="1">
      <c r="A54" s="1"/>
      <c r="B54" s="1"/>
      <c r="C54" s="1"/>
      <c r="D54" s="1"/>
      <c r="E54" s="1"/>
      <c r="F54" s="1"/>
    </row>
    <row r="55" spans="1:6" ht="15.75" customHeight="1">
      <c r="A55" s="1"/>
      <c r="B55" s="1"/>
      <c r="C55" s="1"/>
      <c r="D55" s="1"/>
      <c r="E55" s="1"/>
      <c r="F55" s="1"/>
    </row>
    <row r="56" spans="1:6" ht="15.75" customHeight="1">
      <c r="A56" s="1"/>
      <c r="B56" s="1"/>
      <c r="C56" s="1"/>
      <c r="D56" s="1"/>
      <c r="E56" s="1"/>
      <c r="F56" s="1"/>
    </row>
    <row r="57" spans="1:6" ht="15.75" customHeight="1">
      <c r="A57" s="1"/>
      <c r="B57" s="1"/>
      <c r="C57" s="1"/>
      <c r="D57" s="1"/>
      <c r="E57" s="1"/>
      <c r="F57" s="1"/>
    </row>
    <row r="58" spans="1:6" ht="15.75" customHeight="1">
      <c r="A58" s="1"/>
      <c r="B58" s="1"/>
      <c r="C58" s="1"/>
      <c r="D58" s="1"/>
      <c r="E58" s="1"/>
      <c r="F58" s="1"/>
    </row>
    <row r="59" spans="1:6" ht="15.75" customHeight="1">
      <c r="A59" s="1"/>
      <c r="B59" s="1"/>
      <c r="C59" s="1"/>
      <c r="D59" s="1"/>
      <c r="E59" s="1"/>
      <c r="F59" s="1"/>
    </row>
    <row r="60" spans="1:6" ht="15.75" customHeight="1">
      <c r="A60" s="1"/>
      <c r="B60" s="1"/>
      <c r="C60" s="1"/>
      <c r="D60" s="1"/>
      <c r="E60" s="1"/>
      <c r="F60" s="1"/>
    </row>
    <row r="61" spans="1:6" ht="15.75" customHeight="1">
      <c r="A61" s="1"/>
      <c r="B61" s="1"/>
      <c r="C61" s="1"/>
      <c r="D61" s="1"/>
      <c r="E61" s="1"/>
      <c r="F61" s="1"/>
    </row>
    <row r="62" spans="1:6" ht="15.75" customHeight="1">
      <c r="A62" s="1"/>
      <c r="B62" s="1"/>
      <c r="C62" s="1"/>
      <c r="D62" s="1"/>
      <c r="E62" s="1"/>
      <c r="F62" s="1"/>
    </row>
    <row r="63" spans="1:6" ht="15.75" customHeight="1">
      <c r="A63" s="1"/>
      <c r="B63" s="1"/>
      <c r="C63" s="1"/>
      <c r="D63" s="1"/>
      <c r="E63" s="1"/>
      <c r="F63" s="1"/>
    </row>
    <row r="64" spans="1:6" ht="15.75" customHeight="1">
      <c r="A64" s="1"/>
      <c r="B64" s="1"/>
      <c r="C64" s="1"/>
      <c r="D64" s="1"/>
      <c r="E64" s="1"/>
      <c r="F64" s="1"/>
    </row>
    <row r="65" spans="1:6" ht="15.75" customHeight="1">
      <c r="A65" s="1"/>
      <c r="B65" s="1"/>
      <c r="C65" s="1"/>
      <c r="D65" s="1"/>
      <c r="E65" s="1"/>
      <c r="F65" s="1"/>
    </row>
    <row r="66" spans="1:6" ht="15.75" customHeight="1">
      <c r="A66" s="1"/>
      <c r="B66" s="1"/>
      <c r="C66" s="1"/>
      <c r="D66" s="1"/>
      <c r="E66" s="1"/>
      <c r="F66" s="1"/>
    </row>
    <row r="67" spans="1:6" ht="15.75" customHeight="1">
      <c r="A67" s="1"/>
      <c r="B67" s="1"/>
      <c r="C67" s="1"/>
      <c r="D67" s="1"/>
      <c r="E67" s="1"/>
      <c r="F67" s="1"/>
    </row>
    <row r="68" spans="1:6" ht="15.75" customHeight="1">
      <c r="A68" s="1"/>
      <c r="B68" s="1"/>
      <c r="C68" s="1"/>
      <c r="D68" s="1"/>
      <c r="E68" s="1"/>
      <c r="F68" s="1"/>
    </row>
    <row r="69" spans="1:6" ht="15.75" customHeight="1">
      <c r="A69" s="1"/>
      <c r="B69" s="1"/>
      <c r="C69" s="1"/>
      <c r="D69" s="1"/>
      <c r="E69" s="1"/>
      <c r="F69" s="1"/>
    </row>
    <row r="70" spans="1:6" ht="15.75" customHeight="1">
      <c r="A70" s="1"/>
      <c r="B70" s="1"/>
      <c r="C70" s="1"/>
      <c r="D70" s="1"/>
      <c r="E70" s="1"/>
      <c r="F70" s="1"/>
    </row>
    <row r="71" spans="1:6" ht="15.75" customHeight="1">
      <c r="A71" s="1"/>
      <c r="B71" s="1"/>
      <c r="C71" s="1"/>
      <c r="D71" s="1"/>
      <c r="E71" s="1"/>
      <c r="F71" s="1"/>
    </row>
    <row r="72" spans="1:6" ht="15.75" customHeight="1">
      <c r="A72" s="1"/>
      <c r="B72" s="1"/>
      <c r="C72" s="1"/>
      <c r="D72" s="1"/>
      <c r="E72" s="1"/>
      <c r="F72" s="1"/>
    </row>
    <row r="73" spans="1:6" ht="15.75" customHeight="1">
      <c r="A73" s="1"/>
      <c r="B73" s="1"/>
      <c r="C73" s="1"/>
      <c r="D73" s="1"/>
      <c r="E73" s="1"/>
      <c r="F73" s="1"/>
    </row>
    <row r="74" spans="1:6" ht="15.75" customHeight="1">
      <c r="A74" s="1"/>
      <c r="B74" s="1"/>
      <c r="C74" s="1"/>
      <c r="D74" s="1"/>
      <c r="E74" s="1"/>
      <c r="F74" s="1"/>
    </row>
    <row r="75" spans="1:6" ht="15.75" customHeight="1">
      <c r="A75" s="1"/>
      <c r="B75" s="1"/>
      <c r="C75" s="1"/>
      <c r="D75" s="1"/>
      <c r="E75" s="1"/>
      <c r="F75" s="1"/>
    </row>
    <row r="76" spans="1:6" ht="15.75" customHeight="1">
      <c r="A76" s="1"/>
      <c r="B76" s="1"/>
      <c r="C76" s="1"/>
      <c r="D76" s="1"/>
      <c r="E76" s="1"/>
      <c r="F76" s="1"/>
    </row>
    <row r="77" spans="1:6" ht="15.75" customHeight="1">
      <c r="A77" s="1"/>
      <c r="B77" s="1"/>
      <c r="C77" s="1"/>
      <c r="D77" s="1"/>
      <c r="E77" s="1"/>
      <c r="F77" s="1"/>
    </row>
    <row r="78" spans="1:6" ht="15.75" customHeight="1">
      <c r="A78" s="1"/>
      <c r="B78" s="1"/>
      <c r="C78" s="1"/>
      <c r="D78" s="1"/>
      <c r="E78" s="1"/>
      <c r="F78" s="1"/>
    </row>
    <row r="79" spans="1:6" ht="15.75" customHeight="1">
      <c r="A79" s="1"/>
      <c r="B79" s="1"/>
      <c r="C79" s="1"/>
      <c r="D79" s="1"/>
      <c r="E79" s="1"/>
      <c r="F79" s="1"/>
    </row>
    <row r="80" spans="1:6" ht="15.75" customHeight="1">
      <c r="A80" s="1"/>
      <c r="B80" s="1"/>
      <c r="C80" s="1"/>
      <c r="D80" s="1"/>
      <c r="E80" s="1"/>
      <c r="F80" s="1"/>
    </row>
    <row r="81" spans="1:6" ht="15.75" customHeight="1">
      <c r="A81" s="1"/>
      <c r="B81" s="1"/>
      <c r="C81" s="1"/>
      <c r="D81" s="1"/>
      <c r="E81" s="1"/>
      <c r="F81" s="1"/>
    </row>
    <row r="82" spans="1:6" ht="15.75" customHeight="1">
      <c r="A82" s="1"/>
      <c r="B82" s="1"/>
      <c r="C82" s="1"/>
      <c r="D82" s="1"/>
      <c r="E82" s="1"/>
      <c r="F82" s="1"/>
    </row>
    <row r="83" spans="1:6" ht="15.75" customHeight="1">
      <c r="A83" s="1"/>
      <c r="B83" s="1"/>
      <c r="C83" s="1"/>
      <c r="D83" s="1"/>
      <c r="E83" s="1"/>
      <c r="F83" s="1"/>
    </row>
    <row r="84" spans="1:6" ht="15.75" customHeight="1">
      <c r="A84" s="1"/>
      <c r="B84" s="1"/>
      <c r="C84" s="1"/>
      <c r="D84" s="1"/>
      <c r="E84" s="1"/>
      <c r="F84" s="1"/>
    </row>
    <row r="85" spans="1:6" ht="15.75" customHeight="1">
      <c r="A85" s="1"/>
      <c r="B85" s="1"/>
      <c r="C85" s="1"/>
      <c r="D85" s="1"/>
      <c r="E85" s="1"/>
      <c r="F85" s="1"/>
    </row>
    <row r="86" spans="1:6" ht="15.75" customHeight="1">
      <c r="A86" s="1"/>
      <c r="B86" s="1"/>
      <c r="C86" s="1"/>
      <c r="D86" s="1"/>
      <c r="E86" s="1"/>
      <c r="F86" s="1"/>
    </row>
    <row r="87" spans="1:6" ht="15.75" customHeight="1">
      <c r="A87" s="1"/>
      <c r="B87" s="1"/>
      <c r="C87" s="1"/>
      <c r="D87" s="1"/>
      <c r="E87" s="1"/>
      <c r="F87" s="1"/>
    </row>
    <row r="88" spans="1:6" ht="15.75" customHeight="1">
      <c r="A88" s="1"/>
      <c r="B88" s="1"/>
      <c r="C88" s="1"/>
      <c r="D88" s="1"/>
      <c r="E88" s="1"/>
      <c r="F88" s="1"/>
    </row>
    <row r="89" spans="1:6" ht="15.75" customHeight="1">
      <c r="A89" s="1"/>
      <c r="B89" s="1"/>
      <c r="C89" s="1"/>
      <c r="D89" s="1"/>
      <c r="E89" s="1"/>
      <c r="F89" s="1"/>
    </row>
    <row r="90" spans="1:6" ht="15.75" customHeight="1">
      <c r="A90" s="1"/>
      <c r="B90" s="1"/>
      <c r="C90" s="1"/>
      <c r="D90" s="1"/>
      <c r="E90" s="1"/>
      <c r="F90" s="1"/>
    </row>
    <row r="91" spans="1:6" ht="15.75" customHeight="1">
      <c r="A91" s="1"/>
      <c r="B91" s="1"/>
      <c r="C91" s="1"/>
      <c r="D91" s="1"/>
      <c r="E91" s="1"/>
      <c r="F91" s="1"/>
    </row>
    <row r="92" spans="1:6" ht="15.75" customHeight="1">
      <c r="A92" s="1"/>
      <c r="B92" s="1"/>
      <c r="C92" s="1"/>
      <c r="D92" s="1"/>
      <c r="E92" s="1"/>
      <c r="F92" s="1"/>
    </row>
    <row r="93" spans="1:6" ht="15.75" customHeight="1">
      <c r="A93" s="1"/>
      <c r="B93" s="1"/>
      <c r="C93" s="1"/>
      <c r="D93" s="1"/>
      <c r="E93" s="1"/>
      <c r="F93" s="1"/>
    </row>
    <row r="94" spans="1:6" ht="15.75" customHeight="1">
      <c r="A94" s="1"/>
      <c r="B94" s="1"/>
      <c r="C94" s="1"/>
      <c r="D94" s="1"/>
      <c r="E94" s="1"/>
      <c r="F94" s="1"/>
    </row>
    <row r="95" spans="1:6" ht="15.75" customHeight="1">
      <c r="A95" s="1"/>
      <c r="B95" s="1"/>
      <c r="C95" s="1"/>
      <c r="D95" s="1"/>
      <c r="E95" s="1"/>
      <c r="F95" s="1"/>
    </row>
    <row r="96" spans="1:6" ht="15.75" customHeight="1">
      <c r="A96" s="1"/>
      <c r="B96" s="1"/>
      <c r="C96" s="1"/>
      <c r="D96" s="1"/>
      <c r="E96" s="1"/>
      <c r="F96" s="1"/>
    </row>
    <row r="97" spans="1:6" ht="15.75" customHeight="1">
      <c r="A97" s="1"/>
      <c r="B97" s="1"/>
      <c r="C97" s="1"/>
      <c r="D97" s="1"/>
      <c r="E97" s="1"/>
      <c r="F97" s="1"/>
    </row>
    <row r="98" spans="1:6" ht="15.75" customHeight="1">
      <c r="A98" s="1"/>
      <c r="B98" s="1"/>
      <c r="C98" s="1"/>
      <c r="D98" s="1"/>
      <c r="E98" s="1"/>
      <c r="F98" s="1"/>
    </row>
    <row r="99" spans="1:6" ht="15.75" customHeight="1">
      <c r="A99" s="1"/>
      <c r="B99" s="1"/>
      <c r="C99" s="1"/>
      <c r="D99" s="1"/>
      <c r="E99" s="1"/>
      <c r="F99" s="1"/>
    </row>
    <row r="100" spans="1:6" ht="15.75" customHeight="1">
      <c r="A100" s="1"/>
      <c r="B100" s="1"/>
      <c r="C100" s="1"/>
      <c r="D100" s="1"/>
      <c r="E100" s="1"/>
      <c r="F100" s="1"/>
    </row>
    <row r="101" spans="1:6" ht="15.75" customHeight="1">
      <c r="A101" s="1"/>
      <c r="B101" s="1"/>
      <c r="C101" s="1"/>
      <c r="D101" s="1"/>
      <c r="E101" s="1"/>
      <c r="F101" s="1"/>
    </row>
    <row r="102" spans="1:6" ht="15.75" customHeight="1">
      <c r="A102" s="1"/>
      <c r="B102" s="1"/>
      <c r="C102" s="1"/>
      <c r="D102" s="1"/>
      <c r="E102" s="1"/>
      <c r="F102" s="1"/>
    </row>
    <row r="103" spans="1:6" ht="15.75" customHeight="1">
      <c r="A103" s="1"/>
      <c r="B103" s="1"/>
      <c r="C103" s="1"/>
      <c r="D103" s="1"/>
      <c r="E103" s="1"/>
      <c r="F103" s="1"/>
    </row>
    <row r="104" spans="1:6" ht="15.75" customHeight="1">
      <c r="A104" s="1"/>
      <c r="B104" s="1"/>
      <c r="C104" s="1"/>
      <c r="D104" s="1"/>
      <c r="E104" s="1"/>
      <c r="F104" s="1"/>
    </row>
    <row r="105" spans="1:6" ht="15.75" customHeight="1">
      <c r="A105" s="1"/>
      <c r="B105" s="1"/>
      <c r="C105" s="1"/>
      <c r="D105" s="1"/>
      <c r="E105" s="1"/>
      <c r="F105" s="1"/>
    </row>
    <row r="106" spans="1:6" ht="15.75" customHeight="1">
      <c r="A106" s="1"/>
      <c r="B106" s="1"/>
      <c r="C106" s="1"/>
      <c r="D106" s="1"/>
      <c r="E106" s="1"/>
      <c r="F106" s="1"/>
    </row>
    <row r="107" spans="1:6" ht="15.75" customHeight="1">
      <c r="A107" s="1"/>
      <c r="B107" s="1"/>
      <c r="C107" s="1"/>
      <c r="D107" s="1"/>
      <c r="E107" s="1"/>
      <c r="F107" s="1"/>
    </row>
    <row r="108" spans="1:6" ht="15.75" customHeight="1">
      <c r="A108" s="1"/>
      <c r="B108" s="1"/>
      <c r="C108" s="1"/>
      <c r="D108" s="1"/>
      <c r="E108" s="1"/>
      <c r="F108" s="1"/>
    </row>
    <row r="109" spans="1:6" ht="15.75" customHeight="1">
      <c r="A109" s="1"/>
      <c r="B109" s="1"/>
      <c r="C109" s="1"/>
      <c r="D109" s="1"/>
      <c r="E109" s="1"/>
      <c r="F109" s="1"/>
    </row>
    <row r="110" spans="1:6" ht="15.75" customHeight="1">
      <c r="A110" s="1"/>
      <c r="B110" s="1"/>
      <c r="C110" s="1"/>
      <c r="D110" s="1"/>
      <c r="E110" s="1"/>
      <c r="F110" s="1"/>
    </row>
    <row r="111" spans="1:6" ht="15.75" customHeight="1">
      <c r="A111" s="1"/>
      <c r="B111" s="1"/>
      <c r="C111" s="1"/>
      <c r="D111" s="1"/>
      <c r="E111" s="1"/>
      <c r="F111" s="1"/>
    </row>
    <row r="112" spans="1:6" ht="15.75" customHeight="1">
      <c r="A112" s="1"/>
      <c r="B112" s="1"/>
      <c r="C112" s="1"/>
      <c r="D112" s="1"/>
      <c r="E112" s="1"/>
      <c r="F112" s="1"/>
    </row>
    <row r="113" spans="1:6" ht="15.75" customHeight="1">
      <c r="A113" s="1"/>
      <c r="B113" s="1"/>
      <c r="C113" s="1"/>
      <c r="D113" s="1"/>
      <c r="E113" s="1"/>
      <c r="F113" s="1"/>
    </row>
    <row r="114" spans="1:6" ht="15.75" customHeight="1">
      <c r="A114" s="1"/>
      <c r="B114" s="1"/>
      <c r="C114" s="1"/>
      <c r="D114" s="1"/>
      <c r="E114" s="1"/>
      <c r="F114" s="1"/>
    </row>
    <row r="115" spans="1:6" ht="15.75" customHeight="1">
      <c r="A115" s="1"/>
      <c r="B115" s="1"/>
      <c r="C115" s="1"/>
      <c r="D115" s="1"/>
      <c r="E115" s="1"/>
      <c r="F115" s="1"/>
    </row>
    <row r="116" spans="1:6" ht="15.75" customHeight="1">
      <c r="A116" s="1"/>
      <c r="B116" s="1"/>
      <c r="C116" s="1"/>
      <c r="D116" s="1"/>
      <c r="E116" s="1"/>
      <c r="F116" s="1"/>
    </row>
    <row r="117" spans="1:6" ht="15.75" customHeight="1">
      <c r="A117" s="1"/>
      <c r="B117" s="1"/>
      <c r="C117" s="1"/>
      <c r="D117" s="1"/>
      <c r="E117" s="1"/>
      <c r="F117" s="1"/>
    </row>
    <row r="118" spans="1:6" ht="15.75" customHeight="1">
      <c r="A118" s="1"/>
      <c r="B118" s="1"/>
      <c r="C118" s="1"/>
      <c r="D118" s="1"/>
      <c r="E118" s="1"/>
      <c r="F118" s="1"/>
    </row>
    <row r="119" spans="1:6" ht="15.75" customHeight="1">
      <c r="A119" s="1"/>
      <c r="B119" s="1"/>
      <c r="C119" s="1"/>
      <c r="D119" s="1"/>
      <c r="E119" s="1"/>
      <c r="F119" s="1"/>
    </row>
    <row r="120" spans="1:6" ht="15.75" customHeight="1">
      <c r="A120" s="1"/>
      <c r="B120" s="1"/>
      <c r="C120" s="1"/>
      <c r="D120" s="1"/>
      <c r="E120" s="1"/>
      <c r="F120" s="1"/>
    </row>
    <row r="121" spans="1:6" ht="15.75" customHeight="1">
      <c r="A121" s="1"/>
      <c r="B121" s="1"/>
      <c r="C121" s="1"/>
      <c r="D121" s="1"/>
      <c r="E121" s="1"/>
      <c r="F121" s="1"/>
    </row>
    <row r="122" spans="1:6" ht="15.75" customHeight="1">
      <c r="A122" s="1"/>
      <c r="B122" s="1"/>
      <c r="C122" s="1"/>
      <c r="D122" s="1"/>
      <c r="E122" s="1"/>
      <c r="F122" s="1"/>
    </row>
    <row r="123" spans="1:6" ht="15.75" customHeight="1">
      <c r="A123" s="1"/>
      <c r="B123" s="1"/>
      <c r="C123" s="1"/>
      <c r="D123" s="1"/>
      <c r="E123" s="1"/>
      <c r="F123" s="1"/>
    </row>
    <row r="124" spans="1:6" ht="15.75" customHeight="1">
      <c r="A124" s="1"/>
      <c r="B124" s="1"/>
      <c r="C124" s="1"/>
      <c r="D124" s="1"/>
      <c r="E124" s="1"/>
      <c r="F124" s="1"/>
    </row>
    <row r="125" spans="1:6" ht="15.75" customHeight="1">
      <c r="A125" s="1"/>
      <c r="B125" s="1"/>
      <c r="C125" s="1"/>
      <c r="D125" s="1"/>
      <c r="E125" s="1"/>
      <c r="F125" s="1"/>
    </row>
    <row r="126" spans="1:6" ht="15.75" customHeight="1">
      <c r="A126" s="1"/>
      <c r="B126" s="1"/>
      <c r="C126" s="1"/>
      <c r="D126" s="1"/>
      <c r="E126" s="1"/>
      <c r="F126" s="1"/>
    </row>
    <row r="127" spans="1:6" ht="15.75" customHeight="1">
      <c r="A127" s="1"/>
      <c r="B127" s="1"/>
      <c r="C127" s="1"/>
      <c r="D127" s="1"/>
      <c r="E127" s="1"/>
      <c r="F127" s="1"/>
    </row>
    <row r="128" spans="1:6" ht="15.75" customHeight="1">
      <c r="A128" s="1"/>
      <c r="B128" s="1"/>
      <c r="C128" s="1"/>
      <c r="D128" s="1"/>
      <c r="E128" s="1"/>
      <c r="F128" s="1"/>
    </row>
    <row r="129" spans="1:6" ht="15.75" customHeight="1">
      <c r="A129" s="1"/>
      <c r="B129" s="1"/>
      <c r="C129" s="1"/>
      <c r="D129" s="1"/>
      <c r="E129" s="1"/>
      <c r="F129" s="1"/>
    </row>
    <row r="130" spans="1:6" ht="15.75" customHeight="1">
      <c r="A130" s="1"/>
      <c r="B130" s="1"/>
      <c r="C130" s="1"/>
      <c r="D130" s="1"/>
      <c r="E130" s="1"/>
      <c r="F130" s="1"/>
    </row>
    <row r="131" spans="1:6" ht="15.75" customHeight="1">
      <c r="A131" s="1"/>
      <c r="B131" s="1"/>
      <c r="C131" s="1"/>
      <c r="D131" s="1"/>
      <c r="E131" s="1"/>
      <c r="F131" s="1"/>
    </row>
    <row r="132" spans="1:6" ht="15.75" customHeight="1">
      <c r="A132" s="1"/>
      <c r="B132" s="1"/>
      <c r="C132" s="1"/>
      <c r="D132" s="1"/>
      <c r="E132" s="1"/>
      <c r="F132" s="1"/>
    </row>
    <row r="133" spans="1:6" ht="15.75" customHeight="1">
      <c r="A133" s="1"/>
      <c r="B133" s="1"/>
      <c r="C133" s="1"/>
      <c r="D133" s="1"/>
      <c r="E133" s="1"/>
      <c r="F133" s="1"/>
    </row>
    <row r="134" spans="1:6" ht="15.75" customHeight="1">
      <c r="A134" s="1"/>
      <c r="B134" s="1"/>
      <c r="C134" s="1"/>
      <c r="D134" s="1"/>
      <c r="E134" s="1"/>
      <c r="F134" s="1"/>
    </row>
    <row r="135" spans="1:6" ht="15.75" customHeight="1">
      <c r="A135" s="1"/>
      <c r="B135" s="1"/>
      <c r="C135" s="1"/>
      <c r="D135" s="1"/>
      <c r="E135" s="1"/>
      <c r="F135" s="1"/>
    </row>
    <row r="136" spans="1:6" ht="15.75" customHeight="1">
      <c r="A136" s="1"/>
      <c r="B136" s="1"/>
      <c r="C136" s="1"/>
      <c r="D136" s="1"/>
      <c r="E136" s="1"/>
      <c r="F136" s="1"/>
    </row>
    <row r="137" spans="1:6" ht="15.75" customHeight="1">
      <c r="A137" s="1"/>
      <c r="B137" s="1"/>
      <c r="C137" s="1"/>
      <c r="D137" s="1"/>
      <c r="E137" s="1"/>
      <c r="F137" s="1"/>
    </row>
    <row r="138" spans="1:6" ht="15.75" customHeight="1">
      <c r="A138" s="1"/>
      <c r="B138" s="1"/>
      <c r="C138" s="1"/>
      <c r="D138" s="1"/>
      <c r="E138" s="1"/>
      <c r="F138" s="1"/>
    </row>
    <row r="139" spans="1:6" ht="15.75" customHeight="1">
      <c r="A139" s="1"/>
      <c r="B139" s="1"/>
      <c r="C139" s="1"/>
      <c r="D139" s="1"/>
      <c r="E139" s="1"/>
      <c r="F139" s="1"/>
    </row>
    <row r="140" spans="1:6" ht="15.75" customHeight="1">
      <c r="A140" s="1"/>
      <c r="B140" s="1"/>
      <c r="C140" s="1"/>
      <c r="D140" s="1"/>
      <c r="E140" s="1"/>
      <c r="F140" s="1"/>
    </row>
    <row r="141" spans="1:6" ht="15.75" customHeight="1">
      <c r="A141" s="1"/>
      <c r="B141" s="1"/>
      <c r="C141" s="1"/>
      <c r="D141" s="1"/>
      <c r="E141" s="1"/>
      <c r="F141" s="1"/>
    </row>
    <row r="142" spans="1:6" ht="15.75" customHeight="1">
      <c r="A142" s="1"/>
      <c r="B142" s="1"/>
      <c r="C142" s="1"/>
      <c r="D142" s="1"/>
      <c r="E142" s="1"/>
      <c r="F142" s="1"/>
    </row>
    <row r="143" spans="1:6" ht="15.75" customHeight="1">
      <c r="A143" s="1"/>
      <c r="B143" s="1"/>
      <c r="C143" s="1"/>
      <c r="D143" s="1"/>
      <c r="E143" s="1"/>
      <c r="F143" s="1"/>
    </row>
    <row r="144" spans="1:6" ht="15.75" customHeight="1">
      <c r="A144" s="1"/>
      <c r="B144" s="1"/>
      <c r="C144" s="1"/>
      <c r="D144" s="1"/>
      <c r="E144" s="1"/>
      <c r="F144" s="1"/>
    </row>
    <row r="145" spans="1:6" ht="15.75" customHeight="1">
      <c r="A145" s="1"/>
      <c r="B145" s="1"/>
      <c r="C145" s="1"/>
      <c r="D145" s="1"/>
      <c r="E145" s="1"/>
      <c r="F145" s="1"/>
    </row>
    <row r="146" spans="1:6" ht="15.75" customHeight="1">
      <c r="A146" s="1"/>
      <c r="B146" s="1"/>
      <c r="C146" s="1"/>
      <c r="D146" s="1"/>
      <c r="E146" s="1"/>
      <c r="F146" s="1"/>
    </row>
    <row r="147" spans="1:6" ht="15.75" customHeight="1">
      <c r="A147" s="1"/>
      <c r="B147" s="1"/>
      <c r="C147" s="1"/>
      <c r="D147" s="1"/>
      <c r="E147" s="1"/>
      <c r="F147" s="1"/>
    </row>
    <row r="148" spans="1:6" ht="15.75" customHeight="1">
      <c r="A148" s="1"/>
      <c r="B148" s="1"/>
      <c r="C148" s="1"/>
      <c r="D148" s="1"/>
      <c r="E148" s="1"/>
      <c r="F148" s="1"/>
    </row>
    <row r="149" spans="1:6" ht="15.75" customHeight="1">
      <c r="A149" s="1"/>
      <c r="B149" s="1"/>
      <c r="C149" s="1"/>
      <c r="D149" s="1"/>
      <c r="E149" s="1"/>
      <c r="F149" s="1"/>
    </row>
    <row r="150" spans="1:6" ht="15.75" customHeight="1">
      <c r="A150" s="1"/>
      <c r="B150" s="1"/>
      <c r="C150" s="1"/>
      <c r="D150" s="1"/>
      <c r="E150" s="1"/>
      <c r="F150" s="1"/>
    </row>
    <row r="151" spans="1:6" ht="15.75" customHeight="1">
      <c r="A151" s="1"/>
      <c r="B151" s="1"/>
      <c r="C151" s="1"/>
      <c r="D151" s="1"/>
      <c r="E151" s="1"/>
      <c r="F151" s="1"/>
    </row>
    <row r="152" spans="1:6" ht="15.75" customHeight="1">
      <c r="A152" s="1"/>
      <c r="B152" s="1"/>
      <c r="C152" s="1"/>
      <c r="D152" s="1"/>
      <c r="E152" s="1"/>
      <c r="F152" s="1"/>
    </row>
    <row r="153" spans="1:6" ht="15.75" customHeight="1">
      <c r="A153" s="1"/>
      <c r="B153" s="1"/>
      <c r="C153" s="1"/>
      <c r="D153" s="1"/>
      <c r="E153" s="1"/>
      <c r="F153" s="1"/>
    </row>
    <row r="154" spans="1:6" ht="15.75" customHeight="1">
      <c r="A154" s="1"/>
      <c r="B154" s="1"/>
      <c r="C154" s="1"/>
      <c r="D154" s="1"/>
      <c r="E154" s="1"/>
      <c r="F154" s="1"/>
    </row>
    <row r="155" spans="1:6" ht="15.75" customHeight="1">
      <c r="A155" s="1"/>
      <c r="B155" s="1"/>
      <c r="C155" s="1"/>
      <c r="D155" s="1"/>
      <c r="E155" s="1"/>
      <c r="F155" s="1"/>
    </row>
    <row r="156" spans="1:6" ht="15.75" customHeight="1">
      <c r="A156" s="1"/>
      <c r="B156" s="1"/>
      <c r="C156" s="1"/>
      <c r="D156" s="1"/>
      <c r="E156" s="1"/>
      <c r="F156" s="1"/>
    </row>
    <row r="157" spans="1:6" ht="15.75" customHeight="1">
      <c r="A157" s="1"/>
      <c r="B157" s="1"/>
      <c r="C157" s="1"/>
      <c r="D157" s="1"/>
      <c r="E157" s="1"/>
      <c r="F157" s="1"/>
    </row>
    <row r="158" spans="1:6" ht="15.75" customHeight="1">
      <c r="A158" s="1"/>
      <c r="B158" s="1"/>
      <c r="C158" s="1"/>
      <c r="D158" s="1"/>
      <c r="E158" s="1"/>
      <c r="F158" s="1"/>
    </row>
    <row r="159" spans="1:6" ht="15.75" customHeight="1">
      <c r="A159" s="1"/>
      <c r="B159" s="1"/>
      <c r="C159" s="1"/>
      <c r="D159" s="1"/>
      <c r="E159" s="1"/>
      <c r="F159" s="1"/>
    </row>
    <row r="160" spans="1:6" ht="15.75" customHeight="1">
      <c r="A160" s="1"/>
      <c r="B160" s="1"/>
      <c r="C160" s="1"/>
      <c r="D160" s="1"/>
      <c r="E160" s="1"/>
      <c r="F160" s="1"/>
    </row>
    <row r="161" spans="1:6" ht="15.75" customHeight="1">
      <c r="A161" s="1"/>
      <c r="B161" s="1"/>
      <c r="C161" s="1"/>
      <c r="D161" s="1"/>
      <c r="E161" s="1"/>
      <c r="F161" s="1"/>
    </row>
    <row r="162" spans="1:6" ht="15.75" customHeight="1">
      <c r="A162" s="1"/>
      <c r="B162" s="1"/>
      <c r="C162" s="1"/>
      <c r="D162" s="1"/>
      <c r="E162" s="1"/>
      <c r="F162" s="1"/>
    </row>
    <row r="163" spans="1:6" ht="15.75" customHeight="1">
      <c r="A163" s="1"/>
      <c r="B163" s="1"/>
      <c r="C163" s="1"/>
      <c r="D163" s="1"/>
      <c r="E163" s="1"/>
      <c r="F163" s="1"/>
    </row>
    <row r="164" spans="1:6" ht="15.75" customHeight="1">
      <c r="A164" s="1"/>
      <c r="B164" s="1"/>
      <c r="C164" s="1"/>
      <c r="D164" s="1"/>
      <c r="E164" s="1"/>
      <c r="F164" s="1"/>
    </row>
    <row r="165" spans="1:6" ht="15.75" customHeight="1">
      <c r="A165" s="1"/>
      <c r="B165" s="1"/>
      <c r="C165" s="1"/>
      <c r="D165" s="1"/>
      <c r="E165" s="1"/>
      <c r="F165" s="1"/>
    </row>
    <row r="166" spans="1:6" ht="15.75" customHeight="1">
      <c r="A166" s="1"/>
      <c r="B166" s="1"/>
      <c r="C166" s="1"/>
      <c r="D166" s="1"/>
      <c r="E166" s="1"/>
      <c r="F166" s="1"/>
    </row>
    <row r="167" spans="1:6" ht="15.75" customHeight="1">
      <c r="A167" s="1"/>
      <c r="B167" s="1"/>
      <c r="C167" s="1"/>
      <c r="D167" s="1"/>
      <c r="E167" s="1"/>
      <c r="F167" s="1"/>
    </row>
    <row r="168" spans="1:6" ht="15.75" customHeight="1">
      <c r="A168" s="1"/>
      <c r="B168" s="1"/>
      <c r="C168" s="1"/>
      <c r="D168" s="1"/>
      <c r="E168" s="1"/>
      <c r="F168" s="1"/>
    </row>
    <row r="169" spans="1:6" ht="15.75" customHeight="1">
      <c r="A169" s="1"/>
      <c r="B169" s="1"/>
      <c r="C169" s="1"/>
      <c r="D169" s="1"/>
      <c r="E169" s="1"/>
      <c r="F169" s="1"/>
    </row>
    <row r="170" spans="1:6" ht="15.75" customHeight="1">
      <c r="A170" s="1"/>
      <c r="B170" s="1"/>
      <c r="C170" s="1"/>
      <c r="D170" s="1"/>
      <c r="E170" s="1"/>
      <c r="F170" s="1"/>
    </row>
    <row r="171" spans="1:6" ht="15.75" customHeight="1">
      <c r="A171" s="1"/>
      <c r="B171" s="1"/>
      <c r="C171" s="1"/>
      <c r="D171" s="1"/>
      <c r="E171" s="1"/>
      <c r="F171" s="1"/>
    </row>
    <row r="172" spans="1:6" ht="15.75" customHeight="1">
      <c r="A172" s="1"/>
      <c r="B172" s="1"/>
      <c r="C172" s="1"/>
      <c r="D172" s="1"/>
      <c r="E172" s="1"/>
      <c r="F172" s="1"/>
    </row>
    <row r="173" spans="1:6" ht="15.75" customHeight="1">
      <c r="A173" s="1"/>
      <c r="B173" s="1"/>
      <c r="C173" s="1"/>
      <c r="D173" s="1"/>
      <c r="E173" s="1"/>
      <c r="F173" s="1"/>
    </row>
    <row r="174" spans="1:6" ht="15.75" customHeight="1">
      <c r="A174" s="1"/>
      <c r="B174" s="1"/>
      <c r="C174" s="1"/>
      <c r="D174" s="1"/>
      <c r="E174" s="1"/>
      <c r="F174" s="1"/>
    </row>
    <row r="175" spans="1:6" ht="15.75" customHeight="1">
      <c r="A175" s="1"/>
      <c r="B175" s="1"/>
      <c r="C175" s="1"/>
      <c r="D175" s="1"/>
      <c r="E175" s="1"/>
      <c r="F175" s="1"/>
    </row>
    <row r="176" spans="1:6" ht="15.75" customHeight="1">
      <c r="A176" s="1"/>
      <c r="B176" s="1"/>
      <c r="C176" s="1"/>
      <c r="D176" s="1"/>
      <c r="E176" s="1"/>
      <c r="F176" s="1"/>
    </row>
    <row r="177" spans="1:6" ht="15.75" customHeight="1">
      <c r="A177" s="1"/>
      <c r="B177" s="1"/>
      <c r="C177" s="1"/>
      <c r="D177" s="1"/>
      <c r="E177" s="1"/>
      <c r="F177" s="1"/>
    </row>
    <row r="178" spans="1:6" ht="15.75" customHeight="1">
      <c r="A178" s="1"/>
      <c r="B178" s="1"/>
      <c r="C178" s="1"/>
      <c r="D178" s="1"/>
      <c r="E178" s="1"/>
      <c r="F178" s="1"/>
    </row>
    <row r="179" spans="1:6" ht="15.75" customHeight="1">
      <c r="A179" s="1"/>
      <c r="B179" s="1"/>
      <c r="C179" s="1"/>
      <c r="D179" s="1"/>
      <c r="E179" s="1"/>
      <c r="F179" s="1"/>
    </row>
    <row r="180" spans="1:6" ht="15.75" customHeight="1">
      <c r="A180" s="1"/>
      <c r="B180" s="1"/>
      <c r="C180" s="1"/>
      <c r="D180" s="1"/>
      <c r="E180" s="1"/>
      <c r="F180" s="1"/>
    </row>
    <row r="181" spans="1:6" ht="15.75" customHeight="1">
      <c r="A181" s="1"/>
      <c r="B181" s="1"/>
      <c r="C181" s="1"/>
      <c r="D181" s="1"/>
      <c r="E181" s="1"/>
      <c r="F181" s="1"/>
    </row>
    <row r="182" spans="1:6" ht="15.75" customHeight="1">
      <c r="A182" s="1"/>
      <c r="B182" s="1"/>
      <c r="C182" s="1"/>
      <c r="D182" s="1"/>
      <c r="E182" s="1"/>
      <c r="F182" s="1"/>
    </row>
    <row r="183" spans="1:6" ht="15.75" customHeight="1">
      <c r="A183" s="1"/>
      <c r="B183" s="1"/>
      <c r="C183" s="1"/>
      <c r="D183" s="1"/>
      <c r="E183" s="1"/>
      <c r="F183" s="1"/>
    </row>
    <row r="184" spans="1:6" ht="15.75" customHeight="1">
      <c r="A184" s="1"/>
      <c r="B184" s="1"/>
      <c r="C184" s="1"/>
      <c r="D184" s="1"/>
      <c r="E184" s="1"/>
      <c r="F184" s="1"/>
    </row>
    <row r="185" spans="1:6" ht="15.75" customHeight="1">
      <c r="A185" s="1"/>
      <c r="B185" s="1"/>
      <c r="C185" s="1"/>
      <c r="D185" s="1"/>
      <c r="E185" s="1"/>
      <c r="F185" s="1"/>
    </row>
    <row r="186" spans="1:6" ht="15.75" customHeight="1">
      <c r="A186" s="1"/>
      <c r="B186" s="1"/>
      <c r="C186" s="1"/>
      <c r="D186" s="1"/>
      <c r="E186" s="1"/>
      <c r="F186" s="1"/>
    </row>
    <row r="187" spans="1:6" ht="15.75" customHeight="1">
      <c r="A187" s="1"/>
      <c r="B187" s="1"/>
      <c r="C187" s="1"/>
      <c r="D187" s="1"/>
      <c r="E187" s="1"/>
      <c r="F187" s="1"/>
    </row>
    <row r="188" spans="1:6" ht="15.75" customHeight="1">
      <c r="A188" s="1"/>
      <c r="B188" s="1"/>
      <c r="C188" s="1"/>
      <c r="D188" s="1"/>
      <c r="E188" s="1"/>
      <c r="F188" s="1"/>
    </row>
    <row r="189" spans="1:6" ht="15.75" customHeight="1">
      <c r="A189" s="1"/>
      <c r="B189" s="1"/>
      <c r="C189" s="1"/>
      <c r="D189" s="1"/>
      <c r="E189" s="1"/>
      <c r="F189" s="1"/>
    </row>
    <row r="190" spans="1:6" ht="15.75" customHeight="1">
      <c r="A190" s="1"/>
      <c r="B190" s="1"/>
      <c r="C190" s="1"/>
      <c r="D190" s="1"/>
      <c r="E190" s="1"/>
      <c r="F190" s="1"/>
    </row>
    <row r="191" spans="1:6" ht="15.75" customHeight="1">
      <c r="A191" s="1"/>
      <c r="B191" s="1"/>
      <c r="C191" s="1"/>
      <c r="D191" s="1"/>
      <c r="E191" s="1"/>
      <c r="F191" s="1"/>
    </row>
    <row r="192" spans="1:6" ht="15.75" customHeight="1">
      <c r="A192" s="1"/>
      <c r="B192" s="1"/>
      <c r="C192" s="1"/>
      <c r="D192" s="1"/>
      <c r="E192" s="1"/>
      <c r="F192" s="1"/>
    </row>
    <row r="193" spans="1:6" ht="15.75" customHeight="1">
      <c r="A193" s="1"/>
      <c r="B193" s="1"/>
      <c r="C193" s="1"/>
      <c r="D193" s="1"/>
      <c r="E193" s="1"/>
      <c r="F193" s="1"/>
    </row>
    <row r="194" spans="1:6" ht="15.75" customHeight="1">
      <c r="A194" s="1"/>
      <c r="B194" s="1"/>
      <c r="C194" s="1"/>
      <c r="D194" s="1"/>
      <c r="E194" s="1"/>
      <c r="F194" s="1"/>
    </row>
    <row r="195" spans="1:6" ht="15.75" customHeight="1">
      <c r="A195" s="1"/>
      <c r="B195" s="1"/>
      <c r="C195" s="1"/>
      <c r="D195" s="1"/>
      <c r="E195" s="1"/>
      <c r="F195" s="1"/>
    </row>
    <row r="196" spans="1:6" ht="15.75" customHeight="1">
      <c r="A196" s="1"/>
      <c r="B196" s="1"/>
      <c r="C196" s="1"/>
      <c r="D196" s="1"/>
      <c r="E196" s="1"/>
      <c r="F196" s="1"/>
    </row>
    <row r="197" spans="1:6" ht="15.75" customHeight="1">
      <c r="A197" s="1"/>
      <c r="B197" s="1"/>
      <c r="C197" s="1"/>
      <c r="D197" s="1"/>
      <c r="E197" s="1"/>
      <c r="F197" s="1"/>
    </row>
    <row r="198" spans="1:6" ht="15.75" customHeight="1">
      <c r="A198" s="1"/>
      <c r="B198" s="1"/>
      <c r="C198" s="1"/>
      <c r="D198" s="1"/>
      <c r="E198" s="1"/>
      <c r="F198" s="1"/>
    </row>
    <row r="199" spans="1:6" ht="15.75" customHeight="1">
      <c r="A199" s="1"/>
      <c r="B199" s="1"/>
      <c r="C199" s="1"/>
      <c r="D199" s="1"/>
      <c r="E199" s="1"/>
      <c r="F199" s="1"/>
    </row>
    <row r="200" spans="1:6" ht="15.75" customHeight="1">
      <c r="A200" s="1"/>
      <c r="B200" s="1"/>
      <c r="C200" s="1"/>
      <c r="D200" s="1"/>
      <c r="E200" s="1"/>
      <c r="F200" s="1"/>
    </row>
    <row r="201" spans="1:6" ht="15.75" customHeight="1">
      <c r="A201" s="1"/>
      <c r="B201" s="1"/>
      <c r="C201" s="1"/>
      <c r="D201" s="1"/>
      <c r="E201" s="1"/>
      <c r="F201" s="1"/>
    </row>
    <row r="202" spans="1:6" ht="15.75" customHeight="1">
      <c r="A202" s="1"/>
      <c r="B202" s="1"/>
      <c r="C202" s="1"/>
      <c r="D202" s="1"/>
      <c r="E202" s="1"/>
      <c r="F202" s="1"/>
    </row>
    <row r="203" spans="1:6" ht="15.75" customHeight="1">
      <c r="A203" s="1"/>
      <c r="B203" s="1"/>
      <c r="C203" s="1"/>
      <c r="D203" s="1"/>
      <c r="E203" s="1"/>
      <c r="F203" s="1"/>
    </row>
    <row r="204" spans="1:6" ht="15.75" customHeight="1">
      <c r="A204" s="1"/>
      <c r="B204" s="1"/>
      <c r="C204" s="1"/>
      <c r="D204" s="1"/>
      <c r="E204" s="1"/>
      <c r="F204" s="1"/>
    </row>
    <row r="205" spans="1:6" ht="15.75" customHeight="1">
      <c r="A205" s="1"/>
      <c r="B205" s="1"/>
      <c r="C205" s="1"/>
      <c r="D205" s="1"/>
      <c r="E205" s="1"/>
      <c r="F205" s="1"/>
    </row>
    <row r="206" spans="1:6" ht="15.75" customHeight="1">
      <c r="A206" s="1"/>
      <c r="B206" s="1"/>
      <c r="C206" s="1"/>
      <c r="D206" s="1"/>
      <c r="E206" s="1"/>
      <c r="F206" s="1"/>
    </row>
    <row r="207" spans="1:6" ht="15.75" customHeight="1">
      <c r="A207" s="1"/>
      <c r="B207" s="1"/>
      <c r="C207" s="1"/>
      <c r="D207" s="1"/>
      <c r="E207" s="1"/>
      <c r="F207" s="1"/>
    </row>
    <row r="208" spans="1:6" ht="15.75" customHeight="1">
      <c r="A208" s="1"/>
      <c r="B208" s="1"/>
      <c r="C208" s="1"/>
      <c r="D208" s="1"/>
      <c r="E208" s="1"/>
      <c r="F208" s="1"/>
    </row>
    <row r="209" spans="1:6" ht="15.75" customHeight="1">
      <c r="A209" s="1"/>
      <c r="B209" s="1"/>
      <c r="C209" s="1"/>
      <c r="D209" s="1"/>
      <c r="E209" s="1"/>
      <c r="F209" s="1"/>
    </row>
    <row r="210" spans="1:6" ht="15.75" customHeight="1">
      <c r="A210" s="1"/>
      <c r="B210" s="1"/>
      <c r="C210" s="1"/>
      <c r="D210" s="1"/>
      <c r="E210" s="1"/>
      <c r="F210" s="1"/>
    </row>
    <row r="211" spans="1:6" ht="15.75" customHeight="1">
      <c r="A211" s="1"/>
      <c r="B211" s="1"/>
      <c r="C211" s="1"/>
      <c r="D211" s="1"/>
      <c r="E211" s="1"/>
      <c r="F211" s="1"/>
    </row>
    <row r="212" spans="1:6" ht="15.75" customHeight="1">
      <c r="A212" s="1"/>
      <c r="B212" s="1"/>
      <c r="C212" s="1"/>
      <c r="D212" s="1"/>
      <c r="E212" s="1"/>
      <c r="F212" s="1"/>
    </row>
    <row r="213" spans="1:6" ht="15.75" customHeight="1">
      <c r="A213" s="1"/>
      <c r="B213" s="1"/>
      <c r="C213" s="1"/>
      <c r="D213" s="1"/>
      <c r="E213" s="1"/>
      <c r="F213" s="1"/>
    </row>
    <row r="214" spans="1:6" ht="15.75" customHeight="1">
      <c r="A214" s="1"/>
      <c r="B214" s="1"/>
      <c r="C214" s="1"/>
      <c r="D214" s="1"/>
      <c r="E214" s="1"/>
      <c r="F214" s="1"/>
    </row>
    <row r="215" spans="1:6" ht="15.75" customHeight="1">
      <c r="A215" s="1"/>
      <c r="B215" s="1"/>
      <c r="C215" s="1"/>
      <c r="D215" s="1"/>
      <c r="E215" s="1"/>
      <c r="F215" s="1"/>
    </row>
    <row r="216" spans="1:6" ht="15.75" customHeight="1">
      <c r="A216" s="1"/>
      <c r="B216" s="1"/>
      <c r="C216" s="1"/>
      <c r="D216" s="1"/>
      <c r="E216" s="1"/>
      <c r="F216" s="1"/>
    </row>
    <row r="217" spans="1:6" ht="15.75" customHeight="1">
      <c r="A217" s="1"/>
      <c r="B217" s="1"/>
      <c r="C217" s="1"/>
      <c r="D217" s="1"/>
      <c r="E217" s="1"/>
      <c r="F217" s="1"/>
    </row>
    <row r="218" spans="1:6" ht="15.75" customHeight="1">
      <c r="A218" s="1"/>
      <c r="B218" s="1"/>
      <c r="C218" s="1"/>
      <c r="D218" s="1"/>
      <c r="E218" s="1"/>
      <c r="F218" s="1"/>
    </row>
    <row r="219" spans="1:6" ht="15.75" customHeight="1">
      <c r="A219" s="1"/>
      <c r="B219" s="1"/>
      <c r="C219" s="1"/>
      <c r="D219" s="1"/>
      <c r="E219" s="1"/>
      <c r="F219" s="1"/>
    </row>
    <row r="220" spans="1:6" ht="15.75" customHeight="1">
      <c r="A220" s="1"/>
      <c r="B220" s="1"/>
      <c r="C220" s="1"/>
      <c r="D220" s="1"/>
      <c r="E220" s="1"/>
      <c r="F220" s="1"/>
    </row>
    <row r="221" spans="1:6" ht="15.75" customHeight="1">
      <c r="A221" s="1"/>
      <c r="B221" s="1"/>
      <c r="C221" s="1"/>
      <c r="D221" s="1"/>
      <c r="E221" s="1"/>
      <c r="F221" s="1"/>
    </row>
    <row r="222" spans="1:6" ht="15.75" customHeight="1">
      <c r="A222" s="1"/>
      <c r="B222" s="1"/>
      <c r="C222" s="1"/>
      <c r="D222" s="1"/>
      <c r="E222" s="1"/>
      <c r="F222" s="1"/>
    </row>
    <row r="223" spans="1:6" ht="15.75" customHeight="1">
      <c r="A223" s="1"/>
      <c r="B223" s="1"/>
      <c r="C223" s="1"/>
      <c r="D223" s="1"/>
      <c r="E223" s="1"/>
      <c r="F223" s="1"/>
    </row>
    <row r="224" spans="1:6" ht="15.75" customHeight="1">
      <c r="A224" s="1"/>
      <c r="B224" s="1"/>
      <c r="C224" s="1"/>
      <c r="D224" s="1"/>
      <c r="E224" s="1"/>
      <c r="F224" s="1"/>
    </row>
    <row r="225" spans="1:6" ht="15.75" customHeight="1">
      <c r="A225" s="1"/>
      <c r="B225" s="1"/>
      <c r="C225" s="1"/>
      <c r="D225" s="1"/>
      <c r="E225" s="1"/>
      <c r="F225" s="1"/>
    </row>
    <row r="226" spans="1:6" ht="15.75" customHeight="1">
      <c r="A226" s="1"/>
      <c r="B226" s="1"/>
      <c r="C226" s="1"/>
      <c r="D226" s="1"/>
      <c r="E226" s="1"/>
      <c r="F226" s="1"/>
    </row>
    <row r="227" spans="1:6" ht="15.75" customHeight="1">
      <c r="A227" s="1"/>
      <c r="B227" s="1"/>
      <c r="C227" s="1"/>
      <c r="D227" s="1"/>
      <c r="E227" s="1"/>
      <c r="F227" s="1"/>
    </row>
    <row r="228" spans="1:6" ht="15.75" customHeight="1">
      <c r="A228" s="1"/>
      <c r="B228" s="1"/>
      <c r="C228" s="1"/>
      <c r="D228" s="1"/>
      <c r="E228" s="1"/>
      <c r="F228" s="1"/>
    </row>
    <row r="229" spans="1:6" ht="15.75" customHeight="1">
      <c r="A229" s="1"/>
      <c r="B229" s="1"/>
      <c r="C229" s="1"/>
      <c r="D229" s="1"/>
      <c r="E229" s="1"/>
      <c r="F229" s="1"/>
    </row>
    <row r="230" spans="1:6" ht="15.75" customHeight="1">
      <c r="A230" s="1"/>
      <c r="B230" s="1"/>
      <c r="C230" s="1"/>
      <c r="D230" s="1"/>
      <c r="E230" s="1"/>
      <c r="F230" s="1"/>
    </row>
    <row r="231" spans="1:6" ht="15.75" customHeight="1">
      <c r="A231" s="1"/>
      <c r="B231" s="1"/>
      <c r="C231" s="1"/>
      <c r="D231" s="1"/>
      <c r="E231" s="1"/>
      <c r="F231" s="1"/>
    </row>
    <row r="232" spans="1:6" ht="15.75" customHeight="1">
      <c r="A232" s="1"/>
      <c r="B232" s="1"/>
      <c r="C232" s="1"/>
      <c r="D232" s="1"/>
      <c r="E232" s="1"/>
      <c r="F232" s="1"/>
    </row>
    <row r="233" spans="1:6" ht="15.75" customHeight="1">
      <c r="A233" s="1"/>
      <c r="B233" s="1"/>
      <c r="C233" s="1"/>
      <c r="D233" s="1"/>
      <c r="E233" s="1"/>
      <c r="F233" s="1"/>
    </row>
    <row r="234" spans="1:6" ht="15.75" customHeight="1">
      <c r="A234" s="1"/>
      <c r="B234" s="1"/>
      <c r="C234" s="1"/>
      <c r="D234" s="1"/>
      <c r="E234" s="1"/>
      <c r="F234" s="1"/>
    </row>
    <row r="235" spans="1:6" ht="15.75" customHeight="1">
      <c r="A235" s="1"/>
      <c r="B235" s="1"/>
      <c r="C235" s="1"/>
      <c r="D235" s="1"/>
      <c r="E235" s="1"/>
      <c r="F235" s="1"/>
    </row>
    <row r="236" spans="1:6" ht="15.75" customHeight="1">
      <c r="A236" s="1"/>
      <c r="B236" s="1"/>
      <c r="C236" s="1"/>
      <c r="D236" s="1"/>
      <c r="E236" s="1"/>
      <c r="F236" s="1"/>
    </row>
    <row r="237" spans="1:6" ht="15.75" customHeight="1">
      <c r="A237" s="1"/>
      <c r="B237" s="1"/>
      <c r="C237" s="1"/>
      <c r="D237" s="1"/>
      <c r="E237" s="1"/>
      <c r="F237" s="1"/>
    </row>
    <row r="238" spans="1:6" ht="15.75" customHeight="1">
      <c r="A238" s="1"/>
      <c r="B238" s="1"/>
      <c r="C238" s="1"/>
      <c r="D238" s="1"/>
      <c r="E238" s="1"/>
      <c r="F238" s="1"/>
    </row>
    <row r="239" spans="1:6" ht="15.75" customHeight="1">
      <c r="A239" s="1"/>
      <c r="B239" s="1"/>
      <c r="C239" s="1"/>
      <c r="D239" s="1"/>
      <c r="E239" s="1"/>
      <c r="F239" s="1"/>
    </row>
    <row r="240" spans="1:6" ht="15.75" customHeight="1">
      <c r="A240" s="1"/>
      <c r="B240" s="1"/>
      <c r="C240" s="1"/>
      <c r="D240" s="1"/>
      <c r="E240" s="1"/>
      <c r="F240" s="1"/>
    </row>
    <row r="241" spans="1:6" ht="15.75" customHeight="1">
      <c r="A241" s="1"/>
      <c r="B241" s="1"/>
      <c r="C241" s="1"/>
      <c r="D241" s="1"/>
      <c r="E241" s="1"/>
      <c r="F241" s="1"/>
    </row>
    <row r="242" spans="1:6" ht="15.75" customHeight="1">
      <c r="A242" s="1"/>
      <c r="B242" s="1"/>
      <c r="C242" s="1"/>
      <c r="D242" s="1"/>
      <c r="E242" s="1"/>
      <c r="F242" s="1"/>
    </row>
    <row r="243" spans="1:6" ht="15.75" customHeight="1">
      <c r="A243" s="1"/>
      <c r="B243" s="1"/>
      <c r="C243" s="1"/>
      <c r="D243" s="1"/>
      <c r="E243" s="1"/>
      <c r="F243" s="1"/>
    </row>
    <row r="244" spans="1:6" ht="15.75" customHeight="1">
      <c r="A244" s="1"/>
      <c r="B244" s="1"/>
      <c r="C244" s="1"/>
      <c r="D244" s="1"/>
      <c r="E244" s="1"/>
      <c r="F244" s="1"/>
    </row>
    <row r="245" spans="1:6" ht="15.75" customHeight="1">
      <c r="A245" s="1"/>
      <c r="B245" s="1"/>
      <c r="C245" s="1"/>
      <c r="D245" s="1"/>
      <c r="E245" s="1"/>
      <c r="F245" s="1"/>
    </row>
    <row r="246" spans="1:6" ht="15.75" customHeight="1">
      <c r="A246" s="1"/>
      <c r="B246" s="1"/>
      <c r="C246" s="1"/>
      <c r="D246" s="1"/>
      <c r="E246" s="1"/>
      <c r="F246" s="1"/>
    </row>
    <row r="247" spans="1:6" ht="15.75" customHeight="1">
      <c r="A247" s="1"/>
      <c r="B247" s="1"/>
      <c r="C247" s="1"/>
      <c r="D247" s="1"/>
      <c r="E247" s="1"/>
      <c r="F247" s="1"/>
    </row>
    <row r="248" spans="1:6" ht="15.75" customHeight="1">
      <c r="A248" s="1"/>
      <c r="B248" s="1"/>
      <c r="C248" s="1"/>
      <c r="D248" s="1"/>
      <c r="E248" s="1"/>
      <c r="F248" s="1"/>
    </row>
    <row r="249" spans="1:6" ht="15.75" customHeight="1">
      <c r="A249" s="1"/>
      <c r="B249" s="1"/>
      <c r="C249" s="1"/>
      <c r="D249" s="1"/>
      <c r="E249" s="1"/>
      <c r="F249" s="1"/>
    </row>
    <row r="250" spans="1:6" ht="15.75" customHeight="1">
      <c r="A250" s="1"/>
      <c r="B250" s="1"/>
      <c r="C250" s="1"/>
      <c r="D250" s="1"/>
      <c r="E250" s="1"/>
      <c r="F250" s="1"/>
    </row>
    <row r="251" spans="1:6" ht="15.75" customHeight="1">
      <c r="A251" s="1"/>
      <c r="B251" s="1"/>
      <c r="C251" s="1"/>
      <c r="D251" s="1"/>
      <c r="E251" s="1"/>
      <c r="F251" s="1"/>
    </row>
    <row r="252" spans="1:6" ht="15.75" customHeight="1"/>
    <row r="253" spans="1:6" ht="15.75" customHeight="1"/>
    <row r="254" spans="1:6" ht="15.75" customHeight="1"/>
    <row r="255" spans="1:6" ht="15.75" customHeight="1"/>
    <row r="256" spans="1: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48:E48"/>
    <mergeCell ref="B49:C49"/>
    <mergeCell ref="B50:C50"/>
    <mergeCell ref="B51:C51"/>
    <mergeCell ref="B35:D35"/>
    <mergeCell ref="B36:D36"/>
    <mergeCell ref="B38:E38"/>
    <mergeCell ref="B39:E39"/>
    <mergeCell ref="B41:E41"/>
    <mergeCell ref="B42:E42"/>
    <mergeCell ref="B43:E43"/>
    <mergeCell ref="B10:E10"/>
    <mergeCell ref="B34:D34"/>
    <mergeCell ref="B44:E44"/>
    <mergeCell ref="B45:E45"/>
    <mergeCell ref="B46:E46"/>
    <mergeCell ref="B1:E1"/>
    <mergeCell ref="B2:E2"/>
    <mergeCell ref="B4:C4"/>
    <mergeCell ref="D4:E4"/>
    <mergeCell ref="B9:E9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showGridLines="0" workbookViewId="0"/>
  </sheetViews>
  <sheetFormatPr defaultColWidth="14.42578125" defaultRowHeight="15" customHeight="1"/>
  <cols>
    <col min="1" max="1" width="3" customWidth="1"/>
    <col min="2" max="2" width="12" customWidth="1"/>
    <col min="3" max="3" width="22" customWidth="1"/>
    <col min="4" max="4" width="18" customWidth="1"/>
    <col min="5" max="5" width="12" customWidth="1"/>
    <col min="6" max="6" width="10" customWidth="1"/>
    <col min="7" max="8" width="12" customWidth="1"/>
    <col min="9" max="10" width="14" customWidth="1"/>
    <col min="11" max="11" width="12" customWidth="1"/>
    <col min="12" max="12" width="3" customWidth="1"/>
  </cols>
  <sheetData>
    <row r="1" spans="1:12" ht="37.5" customHeight="1">
      <c r="A1" s="1"/>
      <c r="B1" s="95" t="s">
        <v>242</v>
      </c>
      <c r="C1" s="60"/>
      <c r="D1" s="60"/>
      <c r="E1" s="60"/>
      <c r="F1" s="60"/>
      <c r="G1" s="60"/>
      <c r="H1" s="60"/>
      <c r="I1" s="60"/>
      <c r="J1" s="60"/>
      <c r="K1" s="61"/>
      <c r="L1" s="1"/>
    </row>
    <row r="2" spans="1:12" ht="21.75" customHeight="1">
      <c r="A2" s="1"/>
      <c r="B2" s="42" t="s">
        <v>243</v>
      </c>
      <c r="C2" s="42" t="s">
        <v>244</v>
      </c>
      <c r="D2" s="42" t="s">
        <v>245</v>
      </c>
      <c r="E2" s="42" t="s">
        <v>246</v>
      </c>
      <c r="F2" s="42" t="s">
        <v>149</v>
      </c>
      <c r="G2" s="42" t="s">
        <v>247</v>
      </c>
      <c r="H2" s="42" t="s">
        <v>248</v>
      </c>
      <c r="I2" s="42" t="s">
        <v>249</v>
      </c>
      <c r="J2" s="42" t="s">
        <v>250</v>
      </c>
      <c r="K2" s="42" t="s">
        <v>251</v>
      </c>
      <c r="L2" s="42" t="s">
        <v>160</v>
      </c>
    </row>
    <row r="3" spans="1:12" ht="18" customHeight="1">
      <c r="A3" s="1"/>
      <c r="B3" s="43"/>
      <c r="C3" s="26"/>
      <c r="D3" s="26"/>
      <c r="E3" s="22"/>
      <c r="F3" s="44"/>
      <c r="G3" s="45" t="str">
        <f t="shared" ref="G3:G32" si="0">IF(F3="","-",F3*G3)</f>
        <v>-</v>
      </c>
      <c r="H3" s="45"/>
      <c r="I3" s="45" t="str">
        <f t="shared" ref="I3:I32" si="1">IF(OR(H3=0,H3=""),"-",H3-G3)</f>
        <v>-</v>
      </c>
      <c r="J3" s="26"/>
      <c r="K3" s="26"/>
      <c r="L3" s="46"/>
    </row>
    <row r="4" spans="1:12" ht="18" customHeight="1">
      <c r="A4" s="1"/>
      <c r="B4" s="43"/>
      <c r="C4" s="26"/>
      <c r="D4" s="26"/>
      <c r="E4" s="22"/>
      <c r="F4" s="44"/>
      <c r="G4" s="47" t="str">
        <f t="shared" si="0"/>
        <v>-</v>
      </c>
      <c r="H4" s="47"/>
      <c r="I4" s="47" t="str">
        <f t="shared" si="1"/>
        <v>-</v>
      </c>
      <c r="J4" s="26"/>
      <c r="K4" s="26"/>
      <c r="L4" s="48"/>
    </row>
    <row r="5" spans="1:12" ht="18" customHeight="1">
      <c r="A5" s="1"/>
      <c r="B5" s="43"/>
      <c r="C5" s="26"/>
      <c r="D5" s="26"/>
      <c r="E5" s="22"/>
      <c r="F5" s="44"/>
      <c r="G5" s="45" t="str">
        <f t="shared" si="0"/>
        <v>-</v>
      </c>
      <c r="H5" s="45"/>
      <c r="I5" s="45" t="str">
        <f t="shared" si="1"/>
        <v>-</v>
      </c>
      <c r="J5" s="26"/>
      <c r="K5" s="26"/>
      <c r="L5" s="46"/>
    </row>
    <row r="6" spans="1:12" ht="18" customHeight="1">
      <c r="A6" s="1"/>
      <c r="B6" s="43"/>
      <c r="C6" s="26"/>
      <c r="D6" s="26"/>
      <c r="E6" s="22"/>
      <c r="F6" s="44"/>
      <c r="G6" s="47" t="str">
        <f t="shared" si="0"/>
        <v>-</v>
      </c>
      <c r="H6" s="47"/>
      <c r="I6" s="47" t="str">
        <f t="shared" si="1"/>
        <v>-</v>
      </c>
      <c r="J6" s="26"/>
      <c r="K6" s="26"/>
      <c r="L6" s="48"/>
    </row>
    <row r="7" spans="1:12" ht="18" customHeight="1">
      <c r="A7" s="1"/>
      <c r="B7" s="43"/>
      <c r="C7" s="26"/>
      <c r="D7" s="26"/>
      <c r="E7" s="22"/>
      <c r="F7" s="44"/>
      <c r="G7" s="45" t="str">
        <f t="shared" si="0"/>
        <v>-</v>
      </c>
      <c r="H7" s="45"/>
      <c r="I7" s="45" t="str">
        <f t="shared" si="1"/>
        <v>-</v>
      </c>
      <c r="J7" s="26"/>
      <c r="K7" s="26"/>
      <c r="L7" s="46"/>
    </row>
    <row r="8" spans="1:12" ht="18" customHeight="1">
      <c r="A8" s="1"/>
      <c r="B8" s="43"/>
      <c r="C8" s="26"/>
      <c r="D8" s="26"/>
      <c r="E8" s="22"/>
      <c r="F8" s="44"/>
      <c r="G8" s="47" t="str">
        <f t="shared" si="0"/>
        <v>-</v>
      </c>
      <c r="H8" s="47"/>
      <c r="I8" s="47" t="str">
        <f t="shared" si="1"/>
        <v>-</v>
      </c>
      <c r="J8" s="26"/>
      <c r="K8" s="26"/>
      <c r="L8" s="48"/>
    </row>
    <row r="9" spans="1:12" ht="18" customHeight="1">
      <c r="A9" s="1"/>
      <c r="B9" s="43"/>
      <c r="C9" s="26"/>
      <c r="D9" s="26"/>
      <c r="E9" s="22"/>
      <c r="F9" s="44"/>
      <c r="G9" s="45" t="str">
        <f t="shared" si="0"/>
        <v>-</v>
      </c>
      <c r="H9" s="45"/>
      <c r="I9" s="45" t="str">
        <f t="shared" si="1"/>
        <v>-</v>
      </c>
      <c r="J9" s="26"/>
      <c r="K9" s="26"/>
      <c r="L9" s="46"/>
    </row>
    <row r="10" spans="1:12" ht="18" customHeight="1">
      <c r="A10" s="1"/>
      <c r="B10" s="43"/>
      <c r="C10" s="26"/>
      <c r="D10" s="26"/>
      <c r="E10" s="22"/>
      <c r="F10" s="44"/>
      <c r="G10" s="47" t="str">
        <f t="shared" si="0"/>
        <v>-</v>
      </c>
      <c r="H10" s="47"/>
      <c r="I10" s="47" t="str">
        <f t="shared" si="1"/>
        <v>-</v>
      </c>
      <c r="J10" s="26"/>
      <c r="K10" s="26"/>
      <c r="L10" s="48"/>
    </row>
    <row r="11" spans="1:12" ht="18" customHeight="1">
      <c r="A11" s="1"/>
      <c r="B11" s="43"/>
      <c r="C11" s="26"/>
      <c r="D11" s="26"/>
      <c r="E11" s="22"/>
      <c r="F11" s="44"/>
      <c r="G11" s="45" t="str">
        <f t="shared" si="0"/>
        <v>-</v>
      </c>
      <c r="H11" s="45"/>
      <c r="I11" s="45" t="str">
        <f t="shared" si="1"/>
        <v>-</v>
      </c>
      <c r="J11" s="26"/>
      <c r="K11" s="26"/>
      <c r="L11" s="46"/>
    </row>
    <row r="12" spans="1:12" ht="18" customHeight="1">
      <c r="A12" s="1"/>
      <c r="B12" s="43"/>
      <c r="C12" s="26"/>
      <c r="D12" s="26"/>
      <c r="E12" s="22"/>
      <c r="F12" s="44"/>
      <c r="G12" s="47" t="str">
        <f t="shared" si="0"/>
        <v>-</v>
      </c>
      <c r="H12" s="47"/>
      <c r="I12" s="47" t="str">
        <f t="shared" si="1"/>
        <v>-</v>
      </c>
      <c r="J12" s="26"/>
      <c r="K12" s="26"/>
      <c r="L12" s="48"/>
    </row>
    <row r="13" spans="1:12" ht="18" customHeight="1">
      <c r="A13" s="1"/>
      <c r="B13" s="43"/>
      <c r="C13" s="26"/>
      <c r="D13" s="26"/>
      <c r="E13" s="22"/>
      <c r="F13" s="44"/>
      <c r="G13" s="45" t="str">
        <f t="shared" si="0"/>
        <v>-</v>
      </c>
      <c r="H13" s="45"/>
      <c r="I13" s="45" t="str">
        <f t="shared" si="1"/>
        <v>-</v>
      </c>
      <c r="J13" s="26"/>
      <c r="K13" s="26"/>
      <c r="L13" s="46"/>
    </row>
    <row r="14" spans="1:12" ht="18" customHeight="1">
      <c r="A14" s="1"/>
      <c r="B14" s="43"/>
      <c r="C14" s="26"/>
      <c r="D14" s="26"/>
      <c r="E14" s="22"/>
      <c r="F14" s="44"/>
      <c r="G14" s="47" t="str">
        <f t="shared" si="0"/>
        <v>-</v>
      </c>
      <c r="H14" s="47"/>
      <c r="I14" s="47" t="str">
        <f t="shared" si="1"/>
        <v>-</v>
      </c>
      <c r="J14" s="26"/>
      <c r="K14" s="26"/>
      <c r="L14" s="48"/>
    </row>
    <row r="15" spans="1:12" ht="18" customHeight="1">
      <c r="A15" s="1"/>
      <c r="B15" s="43"/>
      <c r="C15" s="26"/>
      <c r="D15" s="26"/>
      <c r="E15" s="22"/>
      <c r="F15" s="44"/>
      <c r="G15" s="45" t="str">
        <f t="shared" si="0"/>
        <v>-</v>
      </c>
      <c r="H15" s="45"/>
      <c r="I15" s="45" t="str">
        <f t="shared" si="1"/>
        <v>-</v>
      </c>
      <c r="J15" s="26"/>
      <c r="K15" s="26"/>
      <c r="L15" s="46"/>
    </row>
    <row r="16" spans="1:12" ht="18" customHeight="1">
      <c r="A16" s="1"/>
      <c r="B16" s="43"/>
      <c r="C16" s="26"/>
      <c r="D16" s="26"/>
      <c r="E16" s="22"/>
      <c r="F16" s="44"/>
      <c r="G16" s="47" t="str">
        <f t="shared" si="0"/>
        <v>-</v>
      </c>
      <c r="H16" s="47"/>
      <c r="I16" s="47" t="str">
        <f t="shared" si="1"/>
        <v>-</v>
      </c>
      <c r="J16" s="26"/>
      <c r="K16" s="26"/>
      <c r="L16" s="48"/>
    </row>
    <row r="17" spans="1:12" ht="18" customHeight="1">
      <c r="A17" s="1"/>
      <c r="B17" s="43"/>
      <c r="C17" s="26"/>
      <c r="D17" s="26"/>
      <c r="E17" s="22"/>
      <c r="F17" s="44"/>
      <c r="G17" s="45" t="str">
        <f t="shared" si="0"/>
        <v>-</v>
      </c>
      <c r="H17" s="45"/>
      <c r="I17" s="45" t="str">
        <f t="shared" si="1"/>
        <v>-</v>
      </c>
      <c r="J17" s="26"/>
      <c r="K17" s="26"/>
      <c r="L17" s="46"/>
    </row>
    <row r="18" spans="1:12" ht="18" customHeight="1">
      <c r="A18" s="1"/>
      <c r="B18" s="43"/>
      <c r="C18" s="26"/>
      <c r="D18" s="26"/>
      <c r="E18" s="22"/>
      <c r="F18" s="44"/>
      <c r="G18" s="47" t="str">
        <f t="shared" si="0"/>
        <v>-</v>
      </c>
      <c r="H18" s="47"/>
      <c r="I18" s="47" t="str">
        <f t="shared" si="1"/>
        <v>-</v>
      </c>
      <c r="J18" s="26"/>
      <c r="K18" s="26"/>
      <c r="L18" s="48"/>
    </row>
    <row r="19" spans="1:12" ht="18" customHeight="1">
      <c r="A19" s="1"/>
      <c r="B19" s="43"/>
      <c r="C19" s="26"/>
      <c r="D19" s="26"/>
      <c r="E19" s="22"/>
      <c r="F19" s="44"/>
      <c r="G19" s="45" t="str">
        <f t="shared" si="0"/>
        <v>-</v>
      </c>
      <c r="H19" s="45"/>
      <c r="I19" s="45" t="str">
        <f t="shared" si="1"/>
        <v>-</v>
      </c>
      <c r="J19" s="26"/>
      <c r="K19" s="26"/>
      <c r="L19" s="46"/>
    </row>
    <row r="20" spans="1:12" ht="18" customHeight="1">
      <c r="A20" s="1"/>
      <c r="B20" s="43"/>
      <c r="C20" s="26"/>
      <c r="D20" s="26"/>
      <c r="E20" s="22"/>
      <c r="F20" s="44"/>
      <c r="G20" s="47" t="str">
        <f t="shared" si="0"/>
        <v>-</v>
      </c>
      <c r="H20" s="47"/>
      <c r="I20" s="47" t="str">
        <f t="shared" si="1"/>
        <v>-</v>
      </c>
      <c r="J20" s="26"/>
      <c r="K20" s="26"/>
      <c r="L20" s="48"/>
    </row>
    <row r="21" spans="1:12" ht="18" customHeight="1">
      <c r="A21" s="1"/>
      <c r="B21" s="43"/>
      <c r="C21" s="26"/>
      <c r="D21" s="26"/>
      <c r="E21" s="22"/>
      <c r="F21" s="44"/>
      <c r="G21" s="45" t="str">
        <f t="shared" si="0"/>
        <v>-</v>
      </c>
      <c r="H21" s="45"/>
      <c r="I21" s="45" t="str">
        <f t="shared" si="1"/>
        <v>-</v>
      </c>
      <c r="J21" s="26"/>
      <c r="K21" s="26"/>
      <c r="L21" s="46"/>
    </row>
    <row r="22" spans="1:12" ht="18" customHeight="1">
      <c r="A22" s="1"/>
      <c r="B22" s="43"/>
      <c r="C22" s="26"/>
      <c r="D22" s="26"/>
      <c r="E22" s="22"/>
      <c r="F22" s="44"/>
      <c r="G22" s="47" t="str">
        <f t="shared" si="0"/>
        <v>-</v>
      </c>
      <c r="H22" s="47"/>
      <c r="I22" s="47" t="str">
        <f t="shared" si="1"/>
        <v>-</v>
      </c>
      <c r="J22" s="26"/>
      <c r="K22" s="26"/>
      <c r="L22" s="48"/>
    </row>
    <row r="23" spans="1:12" ht="18" customHeight="1">
      <c r="A23" s="1"/>
      <c r="B23" s="43"/>
      <c r="C23" s="26"/>
      <c r="D23" s="26"/>
      <c r="E23" s="22"/>
      <c r="F23" s="44"/>
      <c r="G23" s="45" t="str">
        <f t="shared" si="0"/>
        <v>-</v>
      </c>
      <c r="H23" s="45"/>
      <c r="I23" s="45" t="str">
        <f t="shared" si="1"/>
        <v>-</v>
      </c>
      <c r="J23" s="26"/>
      <c r="K23" s="26"/>
      <c r="L23" s="46"/>
    </row>
    <row r="24" spans="1:12" ht="18" customHeight="1">
      <c r="A24" s="1"/>
      <c r="B24" s="43"/>
      <c r="C24" s="26"/>
      <c r="D24" s="26"/>
      <c r="E24" s="22"/>
      <c r="F24" s="44"/>
      <c r="G24" s="47" t="str">
        <f t="shared" si="0"/>
        <v>-</v>
      </c>
      <c r="H24" s="47"/>
      <c r="I24" s="47" t="str">
        <f t="shared" si="1"/>
        <v>-</v>
      </c>
      <c r="J24" s="26"/>
      <c r="K24" s="26"/>
      <c r="L24" s="48"/>
    </row>
    <row r="25" spans="1:12" ht="18" customHeight="1">
      <c r="A25" s="1"/>
      <c r="B25" s="43"/>
      <c r="C25" s="26"/>
      <c r="D25" s="26"/>
      <c r="E25" s="22"/>
      <c r="F25" s="44"/>
      <c r="G25" s="45" t="str">
        <f t="shared" si="0"/>
        <v>-</v>
      </c>
      <c r="H25" s="45"/>
      <c r="I25" s="45" t="str">
        <f t="shared" si="1"/>
        <v>-</v>
      </c>
      <c r="J25" s="26"/>
      <c r="K25" s="26"/>
      <c r="L25" s="46"/>
    </row>
    <row r="26" spans="1:12" ht="18" customHeight="1">
      <c r="A26" s="1"/>
      <c r="B26" s="43"/>
      <c r="C26" s="26"/>
      <c r="D26" s="26"/>
      <c r="E26" s="22"/>
      <c r="F26" s="44"/>
      <c r="G26" s="47" t="str">
        <f t="shared" si="0"/>
        <v>-</v>
      </c>
      <c r="H26" s="47"/>
      <c r="I26" s="47" t="str">
        <f t="shared" si="1"/>
        <v>-</v>
      </c>
      <c r="J26" s="26"/>
      <c r="K26" s="26"/>
      <c r="L26" s="48"/>
    </row>
    <row r="27" spans="1:12" ht="18" customHeight="1">
      <c r="A27" s="1"/>
      <c r="B27" s="43"/>
      <c r="C27" s="26"/>
      <c r="D27" s="26"/>
      <c r="E27" s="22"/>
      <c r="F27" s="44"/>
      <c r="G27" s="45" t="str">
        <f t="shared" si="0"/>
        <v>-</v>
      </c>
      <c r="H27" s="45"/>
      <c r="I27" s="45" t="str">
        <f t="shared" si="1"/>
        <v>-</v>
      </c>
      <c r="J27" s="26"/>
      <c r="K27" s="26"/>
      <c r="L27" s="46"/>
    </row>
    <row r="28" spans="1:12" ht="18" customHeight="1">
      <c r="A28" s="1"/>
      <c r="B28" s="43"/>
      <c r="C28" s="26"/>
      <c r="D28" s="26"/>
      <c r="E28" s="22"/>
      <c r="F28" s="44"/>
      <c r="G28" s="47" t="str">
        <f t="shared" si="0"/>
        <v>-</v>
      </c>
      <c r="H28" s="47"/>
      <c r="I28" s="47" t="str">
        <f t="shared" si="1"/>
        <v>-</v>
      </c>
      <c r="J28" s="26"/>
      <c r="K28" s="26"/>
      <c r="L28" s="48"/>
    </row>
    <row r="29" spans="1:12" ht="18" customHeight="1">
      <c r="A29" s="1"/>
      <c r="B29" s="43"/>
      <c r="C29" s="26"/>
      <c r="D29" s="26"/>
      <c r="E29" s="22"/>
      <c r="F29" s="44"/>
      <c r="G29" s="45" t="str">
        <f t="shared" si="0"/>
        <v>-</v>
      </c>
      <c r="H29" s="45"/>
      <c r="I29" s="45" t="str">
        <f t="shared" si="1"/>
        <v>-</v>
      </c>
      <c r="J29" s="26"/>
      <c r="K29" s="26"/>
      <c r="L29" s="46"/>
    </row>
    <row r="30" spans="1:12" ht="18" customHeight="1">
      <c r="A30" s="1"/>
      <c r="B30" s="43"/>
      <c r="C30" s="26"/>
      <c r="D30" s="26"/>
      <c r="E30" s="22"/>
      <c r="F30" s="44"/>
      <c r="G30" s="47" t="str">
        <f t="shared" si="0"/>
        <v>-</v>
      </c>
      <c r="H30" s="47"/>
      <c r="I30" s="47" t="str">
        <f t="shared" si="1"/>
        <v>-</v>
      </c>
      <c r="J30" s="26"/>
      <c r="K30" s="26"/>
      <c r="L30" s="48"/>
    </row>
    <row r="31" spans="1:12" ht="18" customHeight="1">
      <c r="A31" s="1"/>
      <c r="B31" s="43"/>
      <c r="C31" s="26"/>
      <c r="D31" s="26"/>
      <c r="E31" s="22"/>
      <c r="F31" s="44"/>
      <c r="G31" s="45" t="str">
        <f t="shared" si="0"/>
        <v>-</v>
      </c>
      <c r="H31" s="45"/>
      <c r="I31" s="45" t="str">
        <f t="shared" si="1"/>
        <v>-</v>
      </c>
      <c r="J31" s="26"/>
      <c r="K31" s="26"/>
      <c r="L31" s="46"/>
    </row>
    <row r="32" spans="1:12" ht="18" customHeight="1">
      <c r="A32" s="1"/>
      <c r="B32" s="43"/>
      <c r="C32" s="26"/>
      <c r="D32" s="26"/>
      <c r="E32" s="22"/>
      <c r="F32" s="44"/>
      <c r="G32" s="47" t="str">
        <f t="shared" si="0"/>
        <v>-</v>
      </c>
      <c r="H32" s="47"/>
      <c r="I32" s="47" t="str">
        <f t="shared" si="1"/>
        <v>-</v>
      </c>
      <c r="J32" s="26"/>
      <c r="K32" s="26"/>
      <c r="L32" s="48"/>
    </row>
    <row r="33" spans="1:12" ht="19.5" customHeight="1">
      <c r="A33" s="1"/>
      <c r="B33" s="96" t="s">
        <v>252</v>
      </c>
      <c r="C33" s="60"/>
      <c r="D33" s="60"/>
      <c r="E33" s="60"/>
      <c r="F33" s="61"/>
      <c r="G33" s="40">
        <f>SUMIF(H3:H32,"&gt;0",H3:H32)</f>
        <v>0</v>
      </c>
      <c r="H33" s="1"/>
      <c r="I33" s="1"/>
      <c r="J33" s="1"/>
      <c r="K33" s="1"/>
      <c r="L33" s="1"/>
    </row>
    <row r="34" spans="1:1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5.75" customHeight="1"/>
    <row r="235" spans="1:12" ht="15.75" customHeight="1"/>
    <row r="236" spans="1:12" ht="15.75" customHeight="1"/>
    <row r="237" spans="1:12" ht="15.75" customHeight="1"/>
    <row r="238" spans="1:12" ht="15.75" customHeight="1"/>
    <row r="239" spans="1:12" ht="15.75" customHeight="1"/>
    <row r="240" spans="1:1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K1"/>
    <mergeCell ref="B33:F33"/>
  </mergeCells>
  <dataValidations count="1">
    <dataValidation type="list" allowBlank="1" sqref="E3:E32" xr:uid="{00000000-0002-0000-0400-000000000000}">
      <formula1>"Demolition,Grading/Drainage,Irrigation,Hardscape,Softscape,Structures,Mobilization,Other"</formula1>
    </dataValidation>
  </dataValidation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showGridLines="0" workbookViewId="0"/>
  </sheetViews>
  <sheetFormatPr defaultColWidth="14.42578125" defaultRowHeight="15" customHeight="1"/>
  <cols>
    <col min="1" max="1" width="3" customWidth="1"/>
    <col min="2" max="2" width="12" customWidth="1"/>
    <col min="3" max="3" width="20" customWidth="1"/>
    <col min="4" max="4" width="18" customWidth="1"/>
    <col min="5" max="6" width="10" customWidth="1"/>
    <col min="7" max="8" width="12" customWidth="1"/>
    <col min="9" max="9" width="14" customWidth="1"/>
    <col min="10" max="10" width="12" customWidth="1"/>
    <col min="11" max="11" width="12.7109375" customWidth="1"/>
    <col min="12" max="12" width="8.7109375" customWidth="1"/>
  </cols>
  <sheetData>
    <row r="1" spans="1:12" ht="48" customHeight="1">
      <c r="A1" s="1"/>
      <c r="B1" s="95" t="s">
        <v>253</v>
      </c>
      <c r="C1" s="60"/>
      <c r="D1" s="60"/>
      <c r="E1" s="60"/>
      <c r="F1" s="60"/>
      <c r="G1" s="60"/>
      <c r="H1" s="60"/>
      <c r="I1" s="60"/>
      <c r="J1" s="61"/>
      <c r="K1" s="1"/>
    </row>
    <row r="2" spans="1:12" ht="54" customHeight="1">
      <c r="A2" s="1"/>
      <c r="B2" s="42" t="s">
        <v>243</v>
      </c>
      <c r="C2" s="42" t="s">
        <v>254</v>
      </c>
      <c r="D2" s="42" t="s">
        <v>255</v>
      </c>
      <c r="E2" s="42" t="s">
        <v>256</v>
      </c>
      <c r="F2" s="42" t="s">
        <v>257</v>
      </c>
      <c r="G2" s="42" t="s">
        <v>258</v>
      </c>
      <c r="H2" s="42" t="s">
        <v>259</v>
      </c>
      <c r="I2" s="42" t="s">
        <v>260</v>
      </c>
      <c r="J2" s="42" t="s">
        <v>261</v>
      </c>
      <c r="K2" s="42" t="s">
        <v>160</v>
      </c>
      <c r="L2" s="49" t="s">
        <v>262</v>
      </c>
    </row>
    <row r="3" spans="1:12" ht="18" customHeight="1">
      <c r="A3" s="1"/>
      <c r="B3" s="43"/>
      <c r="C3" s="26"/>
      <c r="D3" s="26"/>
      <c r="E3" s="50"/>
      <c r="F3" s="50">
        <v>30</v>
      </c>
      <c r="G3" s="26" t="str">
        <f t="shared" ref="G3:G31" si="0">IF(OR(E3="",E3=0),"-",E3*F3)</f>
        <v>-</v>
      </c>
      <c r="H3" s="50"/>
      <c r="I3" s="50">
        <f>'📊 Takeoff &amp; Quote'!$G$8</f>
        <v>145</v>
      </c>
      <c r="J3" s="26" t="str">
        <f t="shared" ref="J3:J31" si="1">IF(OR(H3="",H3=0),"-",H3*I3)</f>
        <v>-</v>
      </c>
      <c r="K3" s="26"/>
      <c r="L3" s="49" t="str">
        <f t="shared" ref="L3:L31" si="2">IF(OR(E3="",E3=0),"-",E3*90)</f>
        <v>-</v>
      </c>
    </row>
    <row r="4" spans="1:12" ht="18" customHeight="1">
      <c r="A4" s="1"/>
      <c r="B4" s="43"/>
      <c r="C4" s="26"/>
      <c r="D4" s="26"/>
      <c r="E4" s="51"/>
      <c r="F4" s="51">
        <v>30</v>
      </c>
      <c r="G4" s="26" t="str">
        <f t="shared" si="0"/>
        <v>-</v>
      </c>
      <c r="H4" s="51"/>
      <c r="I4" s="51">
        <f>'📊 Takeoff &amp; Quote'!$G$8</f>
        <v>145</v>
      </c>
      <c r="J4" s="26" t="str">
        <f t="shared" si="1"/>
        <v>-</v>
      </c>
      <c r="K4" s="26"/>
      <c r="L4" s="49" t="str">
        <f t="shared" si="2"/>
        <v>-</v>
      </c>
    </row>
    <row r="5" spans="1:12" ht="18" customHeight="1">
      <c r="A5" s="1"/>
      <c r="B5" s="43"/>
      <c r="C5" s="26"/>
      <c r="D5" s="26"/>
      <c r="E5" s="50"/>
      <c r="F5" s="50">
        <v>30</v>
      </c>
      <c r="G5" s="26" t="str">
        <f t="shared" si="0"/>
        <v>-</v>
      </c>
      <c r="H5" s="50"/>
      <c r="I5" s="50">
        <f>'📊 Takeoff &amp; Quote'!$G$8</f>
        <v>145</v>
      </c>
      <c r="J5" s="26" t="str">
        <f t="shared" si="1"/>
        <v>-</v>
      </c>
      <c r="K5" s="26"/>
      <c r="L5" s="49" t="str">
        <f t="shared" si="2"/>
        <v>-</v>
      </c>
    </row>
    <row r="6" spans="1:12" ht="18" customHeight="1">
      <c r="A6" s="1"/>
      <c r="B6" s="43"/>
      <c r="C6" s="26"/>
      <c r="D6" s="26"/>
      <c r="E6" s="51"/>
      <c r="F6" s="51">
        <v>30</v>
      </c>
      <c r="G6" s="26" t="str">
        <f t="shared" si="0"/>
        <v>-</v>
      </c>
      <c r="H6" s="51"/>
      <c r="I6" s="51">
        <f>'📊 Takeoff &amp; Quote'!$G$8</f>
        <v>145</v>
      </c>
      <c r="J6" s="26" t="str">
        <f t="shared" si="1"/>
        <v>-</v>
      </c>
      <c r="K6" s="26"/>
      <c r="L6" s="49" t="str">
        <f t="shared" si="2"/>
        <v>-</v>
      </c>
    </row>
    <row r="7" spans="1:12" ht="18" customHeight="1">
      <c r="A7" s="1"/>
      <c r="B7" s="43"/>
      <c r="C7" s="26"/>
      <c r="D7" s="26"/>
      <c r="E7" s="50"/>
      <c r="F7" s="50">
        <v>30</v>
      </c>
      <c r="G7" s="26" t="str">
        <f t="shared" si="0"/>
        <v>-</v>
      </c>
      <c r="H7" s="50"/>
      <c r="I7" s="50">
        <f>'📊 Takeoff &amp; Quote'!$G$8</f>
        <v>145</v>
      </c>
      <c r="J7" s="26" t="str">
        <f t="shared" si="1"/>
        <v>-</v>
      </c>
      <c r="K7" s="26"/>
      <c r="L7" s="49" t="str">
        <f t="shared" si="2"/>
        <v>-</v>
      </c>
    </row>
    <row r="8" spans="1:12" ht="18" customHeight="1">
      <c r="A8" s="1"/>
      <c r="B8" s="43"/>
      <c r="C8" s="26"/>
      <c r="D8" s="26"/>
      <c r="E8" s="51"/>
      <c r="F8" s="51">
        <v>30</v>
      </c>
      <c r="G8" s="26" t="str">
        <f t="shared" si="0"/>
        <v>-</v>
      </c>
      <c r="H8" s="51"/>
      <c r="I8" s="51">
        <f>'📊 Takeoff &amp; Quote'!$G$8</f>
        <v>145</v>
      </c>
      <c r="J8" s="26" t="str">
        <f t="shared" si="1"/>
        <v>-</v>
      </c>
      <c r="K8" s="26"/>
      <c r="L8" s="49" t="str">
        <f t="shared" si="2"/>
        <v>-</v>
      </c>
    </row>
    <row r="9" spans="1:12" ht="18" customHeight="1">
      <c r="A9" s="1"/>
      <c r="B9" s="43"/>
      <c r="C9" s="26"/>
      <c r="D9" s="26"/>
      <c r="E9" s="50"/>
      <c r="F9" s="50">
        <v>30</v>
      </c>
      <c r="G9" s="26" t="str">
        <f t="shared" si="0"/>
        <v>-</v>
      </c>
      <c r="H9" s="50"/>
      <c r="I9" s="50">
        <f>'📊 Takeoff &amp; Quote'!$G$8</f>
        <v>145</v>
      </c>
      <c r="J9" s="26" t="str">
        <f t="shared" si="1"/>
        <v>-</v>
      </c>
      <c r="K9" s="26"/>
      <c r="L9" s="49" t="str">
        <f t="shared" si="2"/>
        <v>-</v>
      </c>
    </row>
    <row r="10" spans="1:12" ht="18" customHeight="1">
      <c r="A10" s="1"/>
      <c r="B10" s="43"/>
      <c r="C10" s="26"/>
      <c r="D10" s="26"/>
      <c r="E10" s="51"/>
      <c r="F10" s="51">
        <v>30</v>
      </c>
      <c r="G10" s="26" t="str">
        <f t="shared" si="0"/>
        <v>-</v>
      </c>
      <c r="H10" s="51"/>
      <c r="I10" s="51">
        <f>'📊 Takeoff &amp; Quote'!$G$8</f>
        <v>145</v>
      </c>
      <c r="J10" s="26" t="str">
        <f t="shared" si="1"/>
        <v>-</v>
      </c>
      <c r="K10" s="26"/>
      <c r="L10" s="49" t="str">
        <f t="shared" si="2"/>
        <v>-</v>
      </c>
    </row>
    <row r="11" spans="1:12" ht="18" customHeight="1">
      <c r="A11" s="1"/>
      <c r="B11" s="43"/>
      <c r="C11" s="26"/>
      <c r="D11" s="26"/>
      <c r="E11" s="50"/>
      <c r="F11" s="50">
        <v>30</v>
      </c>
      <c r="G11" s="26" t="str">
        <f t="shared" si="0"/>
        <v>-</v>
      </c>
      <c r="H11" s="50"/>
      <c r="I11" s="50">
        <f>'📊 Takeoff &amp; Quote'!$G$8</f>
        <v>145</v>
      </c>
      <c r="J11" s="26" t="str">
        <f t="shared" si="1"/>
        <v>-</v>
      </c>
      <c r="K11" s="26"/>
      <c r="L11" s="49" t="str">
        <f t="shared" si="2"/>
        <v>-</v>
      </c>
    </row>
    <row r="12" spans="1:12" ht="18" customHeight="1">
      <c r="A12" s="1"/>
      <c r="B12" s="43"/>
      <c r="C12" s="26"/>
      <c r="D12" s="26"/>
      <c r="E12" s="51"/>
      <c r="F12" s="51">
        <v>30</v>
      </c>
      <c r="G12" s="26" t="str">
        <f t="shared" si="0"/>
        <v>-</v>
      </c>
      <c r="H12" s="51"/>
      <c r="I12" s="51">
        <f>'📊 Takeoff &amp; Quote'!$G$8</f>
        <v>145</v>
      </c>
      <c r="J12" s="26" t="str">
        <f t="shared" si="1"/>
        <v>-</v>
      </c>
      <c r="K12" s="26"/>
      <c r="L12" s="49" t="str">
        <f t="shared" si="2"/>
        <v>-</v>
      </c>
    </row>
    <row r="13" spans="1:12" ht="18" customHeight="1">
      <c r="A13" s="1"/>
      <c r="B13" s="43"/>
      <c r="C13" s="26"/>
      <c r="D13" s="26"/>
      <c r="E13" s="50"/>
      <c r="F13" s="50">
        <v>30</v>
      </c>
      <c r="G13" s="26" t="str">
        <f t="shared" si="0"/>
        <v>-</v>
      </c>
      <c r="H13" s="50"/>
      <c r="I13" s="50">
        <f>'📊 Takeoff &amp; Quote'!$G$8</f>
        <v>145</v>
      </c>
      <c r="J13" s="26" t="str">
        <f t="shared" si="1"/>
        <v>-</v>
      </c>
      <c r="K13" s="26"/>
      <c r="L13" s="49" t="str">
        <f t="shared" si="2"/>
        <v>-</v>
      </c>
    </row>
    <row r="14" spans="1:12" ht="18" customHeight="1">
      <c r="A14" s="1"/>
      <c r="B14" s="43"/>
      <c r="C14" s="26"/>
      <c r="D14" s="26"/>
      <c r="E14" s="51"/>
      <c r="F14" s="51">
        <v>30</v>
      </c>
      <c r="G14" s="26" t="str">
        <f t="shared" si="0"/>
        <v>-</v>
      </c>
      <c r="H14" s="51"/>
      <c r="I14" s="51">
        <f>'📊 Takeoff &amp; Quote'!$G$8</f>
        <v>145</v>
      </c>
      <c r="J14" s="26" t="str">
        <f t="shared" si="1"/>
        <v>-</v>
      </c>
      <c r="K14" s="26"/>
      <c r="L14" s="49" t="str">
        <f t="shared" si="2"/>
        <v>-</v>
      </c>
    </row>
    <row r="15" spans="1:12" ht="18" customHeight="1">
      <c r="A15" s="1"/>
      <c r="B15" s="43"/>
      <c r="C15" s="26"/>
      <c r="D15" s="26"/>
      <c r="E15" s="50"/>
      <c r="F15" s="50">
        <v>30</v>
      </c>
      <c r="G15" s="26" t="str">
        <f t="shared" si="0"/>
        <v>-</v>
      </c>
      <c r="H15" s="50"/>
      <c r="I15" s="50">
        <f>'📊 Takeoff &amp; Quote'!$G$8</f>
        <v>145</v>
      </c>
      <c r="J15" s="26" t="str">
        <f t="shared" si="1"/>
        <v>-</v>
      </c>
      <c r="K15" s="26"/>
      <c r="L15" s="49" t="str">
        <f t="shared" si="2"/>
        <v>-</v>
      </c>
    </row>
    <row r="16" spans="1:12" ht="18" customHeight="1">
      <c r="A16" s="1"/>
      <c r="B16" s="43"/>
      <c r="C16" s="26"/>
      <c r="D16" s="26"/>
      <c r="E16" s="51"/>
      <c r="F16" s="51">
        <v>30</v>
      </c>
      <c r="G16" s="26" t="str">
        <f t="shared" si="0"/>
        <v>-</v>
      </c>
      <c r="H16" s="51"/>
      <c r="I16" s="51">
        <f>'📊 Takeoff &amp; Quote'!$G$8</f>
        <v>145</v>
      </c>
      <c r="J16" s="26" t="str">
        <f t="shared" si="1"/>
        <v>-</v>
      </c>
      <c r="K16" s="26"/>
      <c r="L16" s="49" t="str">
        <f t="shared" si="2"/>
        <v>-</v>
      </c>
    </row>
    <row r="17" spans="1:12" ht="18" customHeight="1">
      <c r="A17" s="1"/>
      <c r="B17" s="43"/>
      <c r="C17" s="26"/>
      <c r="D17" s="26"/>
      <c r="E17" s="50"/>
      <c r="F17" s="50">
        <v>30</v>
      </c>
      <c r="G17" s="26" t="str">
        <f t="shared" si="0"/>
        <v>-</v>
      </c>
      <c r="H17" s="50"/>
      <c r="I17" s="50">
        <f>'📊 Takeoff &amp; Quote'!$G$8</f>
        <v>145</v>
      </c>
      <c r="J17" s="26" t="str">
        <f t="shared" si="1"/>
        <v>-</v>
      </c>
      <c r="K17" s="26"/>
      <c r="L17" s="49" t="str">
        <f t="shared" si="2"/>
        <v>-</v>
      </c>
    </row>
    <row r="18" spans="1:12" ht="18" customHeight="1">
      <c r="A18" s="1"/>
      <c r="B18" s="43"/>
      <c r="C18" s="26"/>
      <c r="D18" s="26"/>
      <c r="E18" s="51"/>
      <c r="F18" s="51">
        <v>30</v>
      </c>
      <c r="G18" s="26" t="str">
        <f t="shared" si="0"/>
        <v>-</v>
      </c>
      <c r="H18" s="51"/>
      <c r="I18" s="51">
        <f>'📊 Takeoff &amp; Quote'!$G$8</f>
        <v>145</v>
      </c>
      <c r="J18" s="26" t="str">
        <f t="shared" si="1"/>
        <v>-</v>
      </c>
      <c r="K18" s="26"/>
      <c r="L18" s="49" t="str">
        <f t="shared" si="2"/>
        <v>-</v>
      </c>
    </row>
    <row r="19" spans="1:12" ht="18" customHeight="1">
      <c r="A19" s="1"/>
      <c r="B19" s="43"/>
      <c r="C19" s="26"/>
      <c r="D19" s="26"/>
      <c r="E19" s="50"/>
      <c r="F19" s="50">
        <v>30</v>
      </c>
      <c r="G19" s="26" t="str">
        <f t="shared" si="0"/>
        <v>-</v>
      </c>
      <c r="H19" s="50"/>
      <c r="I19" s="50">
        <f>'📊 Takeoff &amp; Quote'!$G$8</f>
        <v>145</v>
      </c>
      <c r="J19" s="26" t="str">
        <f t="shared" si="1"/>
        <v>-</v>
      </c>
      <c r="K19" s="26"/>
      <c r="L19" s="49" t="str">
        <f t="shared" si="2"/>
        <v>-</v>
      </c>
    </row>
    <row r="20" spans="1:12" ht="18" customHeight="1">
      <c r="A20" s="1"/>
      <c r="B20" s="43"/>
      <c r="C20" s="26"/>
      <c r="D20" s="26"/>
      <c r="E20" s="51"/>
      <c r="F20" s="51">
        <v>30</v>
      </c>
      <c r="G20" s="26" t="str">
        <f t="shared" si="0"/>
        <v>-</v>
      </c>
      <c r="H20" s="51"/>
      <c r="I20" s="51">
        <f>'📊 Takeoff &amp; Quote'!$G$8</f>
        <v>145</v>
      </c>
      <c r="J20" s="26" t="str">
        <f t="shared" si="1"/>
        <v>-</v>
      </c>
      <c r="K20" s="26"/>
      <c r="L20" s="49" t="str">
        <f t="shared" si="2"/>
        <v>-</v>
      </c>
    </row>
    <row r="21" spans="1:12" ht="18" customHeight="1">
      <c r="A21" s="1"/>
      <c r="B21" s="43"/>
      <c r="C21" s="26"/>
      <c r="D21" s="26"/>
      <c r="E21" s="50"/>
      <c r="F21" s="50">
        <v>30</v>
      </c>
      <c r="G21" s="26" t="str">
        <f t="shared" si="0"/>
        <v>-</v>
      </c>
      <c r="H21" s="50"/>
      <c r="I21" s="50">
        <f>'📊 Takeoff &amp; Quote'!$G$8</f>
        <v>145</v>
      </c>
      <c r="J21" s="26" t="str">
        <f t="shared" si="1"/>
        <v>-</v>
      </c>
      <c r="K21" s="26"/>
      <c r="L21" s="49" t="str">
        <f t="shared" si="2"/>
        <v>-</v>
      </c>
    </row>
    <row r="22" spans="1:12" ht="18" customHeight="1">
      <c r="A22" s="1"/>
      <c r="B22" s="43"/>
      <c r="C22" s="26"/>
      <c r="D22" s="26"/>
      <c r="E22" s="51"/>
      <c r="F22" s="51">
        <v>30</v>
      </c>
      <c r="G22" s="26" t="str">
        <f t="shared" si="0"/>
        <v>-</v>
      </c>
      <c r="H22" s="51"/>
      <c r="I22" s="51">
        <f>'📊 Takeoff &amp; Quote'!$G$8</f>
        <v>145</v>
      </c>
      <c r="J22" s="26" t="str">
        <f t="shared" si="1"/>
        <v>-</v>
      </c>
      <c r="K22" s="26"/>
      <c r="L22" s="49" t="str">
        <f t="shared" si="2"/>
        <v>-</v>
      </c>
    </row>
    <row r="23" spans="1:12" ht="18" customHeight="1">
      <c r="A23" s="1"/>
      <c r="B23" s="43"/>
      <c r="C23" s="26"/>
      <c r="D23" s="26"/>
      <c r="E23" s="50"/>
      <c r="F23" s="50">
        <v>30</v>
      </c>
      <c r="G23" s="26" t="str">
        <f t="shared" si="0"/>
        <v>-</v>
      </c>
      <c r="H23" s="50"/>
      <c r="I23" s="50">
        <f>'📊 Takeoff &amp; Quote'!$G$8</f>
        <v>145</v>
      </c>
      <c r="J23" s="26" t="str">
        <f t="shared" si="1"/>
        <v>-</v>
      </c>
      <c r="K23" s="26"/>
      <c r="L23" s="49" t="str">
        <f t="shared" si="2"/>
        <v>-</v>
      </c>
    </row>
    <row r="24" spans="1:12" ht="18" customHeight="1">
      <c r="A24" s="1"/>
      <c r="B24" s="43"/>
      <c r="C24" s="26"/>
      <c r="D24" s="26"/>
      <c r="E24" s="51"/>
      <c r="F24" s="51">
        <v>30</v>
      </c>
      <c r="G24" s="26" t="str">
        <f t="shared" si="0"/>
        <v>-</v>
      </c>
      <c r="H24" s="51"/>
      <c r="I24" s="51">
        <f>'📊 Takeoff &amp; Quote'!$G$8</f>
        <v>145</v>
      </c>
      <c r="J24" s="26" t="str">
        <f t="shared" si="1"/>
        <v>-</v>
      </c>
      <c r="K24" s="26"/>
      <c r="L24" s="49" t="str">
        <f t="shared" si="2"/>
        <v>-</v>
      </c>
    </row>
    <row r="25" spans="1:12" ht="18" customHeight="1">
      <c r="A25" s="1"/>
      <c r="B25" s="43"/>
      <c r="C25" s="26"/>
      <c r="D25" s="26"/>
      <c r="E25" s="50"/>
      <c r="F25" s="50">
        <v>30</v>
      </c>
      <c r="G25" s="26" t="str">
        <f t="shared" si="0"/>
        <v>-</v>
      </c>
      <c r="H25" s="50"/>
      <c r="I25" s="50">
        <f>'📊 Takeoff &amp; Quote'!$G$8</f>
        <v>145</v>
      </c>
      <c r="J25" s="26" t="str">
        <f t="shared" si="1"/>
        <v>-</v>
      </c>
      <c r="K25" s="26"/>
      <c r="L25" s="49" t="str">
        <f t="shared" si="2"/>
        <v>-</v>
      </c>
    </row>
    <row r="26" spans="1:12" ht="18" customHeight="1">
      <c r="A26" s="1"/>
      <c r="B26" s="43"/>
      <c r="C26" s="26"/>
      <c r="D26" s="26"/>
      <c r="E26" s="51"/>
      <c r="F26" s="51">
        <v>30</v>
      </c>
      <c r="G26" s="26" t="str">
        <f t="shared" si="0"/>
        <v>-</v>
      </c>
      <c r="H26" s="51"/>
      <c r="I26" s="51">
        <f>'📊 Takeoff &amp; Quote'!$G$8</f>
        <v>145</v>
      </c>
      <c r="J26" s="26" t="str">
        <f t="shared" si="1"/>
        <v>-</v>
      </c>
      <c r="K26" s="26"/>
      <c r="L26" s="49" t="str">
        <f t="shared" si="2"/>
        <v>-</v>
      </c>
    </row>
    <row r="27" spans="1:12" ht="18" customHeight="1">
      <c r="A27" s="1"/>
      <c r="B27" s="43"/>
      <c r="C27" s="26"/>
      <c r="D27" s="26"/>
      <c r="E27" s="50"/>
      <c r="F27" s="50">
        <v>30</v>
      </c>
      <c r="G27" s="26" t="str">
        <f t="shared" si="0"/>
        <v>-</v>
      </c>
      <c r="H27" s="50"/>
      <c r="I27" s="50">
        <f>'📊 Takeoff &amp; Quote'!$G$8</f>
        <v>145</v>
      </c>
      <c r="J27" s="26" t="str">
        <f t="shared" si="1"/>
        <v>-</v>
      </c>
      <c r="K27" s="26"/>
      <c r="L27" s="49" t="str">
        <f t="shared" si="2"/>
        <v>-</v>
      </c>
    </row>
    <row r="28" spans="1:12" ht="18" customHeight="1">
      <c r="A28" s="1"/>
      <c r="B28" s="43"/>
      <c r="C28" s="26"/>
      <c r="D28" s="26"/>
      <c r="E28" s="51"/>
      <c r="F28" s="51">
        <v>30</v>
      </c>
      <c r="G28" s="26" t="str">
        <f t="shared" si="0"/>
        <v>-</v>
      </c>
      <c r="H28" s="51"/>
      <c r="I28" s="51">
        <f>'📊 Takeoff &amp; Quote'!$G$8</f>
        <v>145</v>
      </c>
      <c r="J28" s="26" t="str">
        <f t="shared" si="1"/>
        <v>-</v>
      </c>
      <c r="K28" s="26"/>
      <c r="L28" s="49" t="str">
        <f t="shared" si="2"/>
        <v>-</v>
      </c>
    </row>
    <row r="29" spans="1:12" ht="18" customHeight="1">
      <c r="A29" s="1"/>
      <c r="B29" s="43"/>
      <c r="C29" s="26"/>
      <c r="D29" s="26"/>
      <c r="E29" s="50"/>
      <c r="F29" s="50">
        <v>30</v>
      </c>
      <c r="G29" s="26" t="str">
        <f t="shared" si="0"/>
        <v>-</v>
      </c>
      <c r="H29" s="50"/>
      <c r="I29" s="50">
        <f>'📊 Takeoff &amp; Quote'!$G$8</f>
        <v>145</v>
      </c>
      <c r="J29" s="26" t="str">
        <f t="shared" si="1"/>
        <v>-</v>
      </c>
      <c r="K29" s="26"/>
      <c r="L29" s="49" t="str">
        <f t="shared" si="2"/>
        <v>-</v>
      </c>
    </row>
    <row r="30" spans="1:12" ht="18" customHeight="1">
      <c r="A30" s="1"/>
      <c r="B30" s="43"/>
      <c r="C30" s="26"/>
      <c r="D30" s="26"/>
      <c r="E30" s="51"/>
      <c r="F30" s="51">
        <v>30</v>
      </c>
      <c r="G30" s="26" t="str">
        <f t="shared" si="0"/>
        <v>-</v>
      </c>
      <c r="H30" s="51"/>
      <c r="I30" s="51">
        <f>'📊 Takeoff &amp; Quote'!$G$8</f>
        <v>145</v>
      </c>
      <c r="J30" s="26" t="str">
        <f t="shared" si="1"/>
        <v>-</v>
      </c>
      <c r="K30" s="26"/>
      <c r="L30" s="49" t="str">
        <f t="shared" si="2"/>
        <v>-</v>
      </c>
    </row>
    <row r="31" spans="1:12" ht="18" customHeight="1">
      <c r="A31" s="1"/>
      <c r="B31" s="43"/>
      <c r="C31" s="26"/>
      <c r="D31" s="26"/>
      <c r="E31" s="50"/>
      <c r="F31" s="50">
        <v>30</v>
      </c>
      <c r="G31" s="26" t="str">
        <f t="shared" si="0"/>
        <v>-</v>
      </c>
      <c r="H31" s="50"/>
      <c r="I31" s="50">
        <f>'📊 Takeoff &amp; Quote'!$G$8</f>
        <v>145</v>
      </c>
      <c r="J31" s="26" t="str">
        <f t="shared" si="1"/>
        <v>-</v>
      </c>
      <c r="K31" s="26"/>
      <c r="L31" s="49" t="str">
        <f t="shared" si="2"/>
        <v>-</v>
      </c>
    </row>
    <row r="32" spans="1:12" ht="18" customHeight="1">
      <c r="A32" s="1"/>
      <c r="B32" s="43"/>
      <c r="C32" s="26"/>
      <c r="D32" s="26"/>
      <c r="E32" s="51">
        <f>IFERROR(SUM(E3:E31),0)</f>
        <v>0</v>
      </c>
      <c r="F32" s="51">
        <v>30</v>
      </c>
      <c r="G32" s="26">
        <f>IFERROR(SUMPRODUCT((ISNUMBER(G3:G31))*(G3:G31)),0)</f>
        <v>0</v>
      </c>
      <c r="H32" s="51">
        <f>IFERROR(SUM(H3:H31),0)</f>
        <v>0</v>
      </c>
      <c r="I32" s="51">
        <f>'📊 Takeoff &amp; Quote'!$G$8</f>
        <v>145</v>
      </c>
      <c r="J32" s="26">
        <f>IFERROR(SUMPRODUCT((ISNUMBER(J3:J31))*(J3:J31)),0)</f>
        <v>0</v>
      </c>
      <c r="K32" s="26"/>
      <c r="L32" s="49">
        <f>IFERROR(SUMPRODUCT((ISNUMBER(L3:L31))*(L3:L31)),0)</f>
        <v>0</v>
      </c>
    </row>
    <row r="33" spans="1:11" ht="19.5" customHeight="1">
      <c r="A33" s="1"/>
      <c r="B33" s="96" t="s">
        <v>263</v>
      </c>
      <c r="C33" s="61"/>
      <c r="D33" s="52">
        <f>SUM(D3:D32)</f>
        <v>0</v>
      </c>
      <c r="E33" s="1"/>
      <c r="F33" s="28">
        <f t="shared" ref="F33:G33" si="3">SUM(F3:F32)</f>
        <v>900</v>
      </c>
      <c r="G33" s="52">
        <f t="shared" si="3"/>
        <v>0</v>
      </c>
      <c r="H33" s="1"/>
      <c r="I33" s="28">
        <f>SUM(I3:I32)</f>
        <v>4350</v>
      </c>
      <c r="J33" s="1"/>
      <c r="K33" s="1"/>
    </row>
    <row r="34" spans="1:11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5.75" customHeight="1"/>
    <row r="235" spans="1:11" ht="15.75" customHeight="1"/>
    <row r="236" spans="1:11" ht="15.75" customHeight="1"/>
    <row r="237" spans="1:11" ht="15.75" customHeight="1"/>
    <row r="238" spans="1:11" ht="15.75" customHeight="1"/>
    <row r="239" spans="1:11" ht="15.75" customHeight="1"/>
    <row r="240" spans="1:1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J1"/>
    <mergeCell ref="B33:C33"/>
  </mergeCell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showGridLines="0" workbookViewId="0"/>
  </sheetViews>
  <sheetFormatPr defaultColWidth="14.42578125" defaultRowHeight="15" customHeight="1"/>
  <cols>
    <col min="1" max="1" width="3" customWidth="1"/>
    <col min="2" max="2" width="28" customWidth="1"/>
    <col min="3" max="5" width="18" customWidth="1"/>
    <col min="6" max="6" width="12" customWidth="1"/>
    <col min="7" max="7" width="3" customWidth="1"/>
  </cols>
  <sheetData>
    <row r="1" spans="1:7" ht="37.5" customHeight="1">
      <c r="A1" s="1"/>
      <c r="B1" s="95" t="s">
        <v>264</v>
      </c>
      <c r="C1" s="60"/>
      <c r="D1" s="60"/>
      <c r="E1" s="60"/>
      <c r="F1" s="61"/>
      <c r="G1" s="1"/>
    </row>
    <row r="2" spans="1:7" ht="18" customHeight="1">
      <c r="A2" s="1"/>
      <c r="B2" s="74" t="s">
        <v>265</v>
      </c>
      <c r="C2" s="60"/>
      <c r="D2" s="60"/>
      <c r="E2" s="60"/>
      <c r="F2" s="61"/>
      <c r="G2" s="1"/>
    </row>
    <row r="3" spans="1:7" ht="15" customHeight="1">
      <c r="A3" s="1"/>
      <c r="B3" s="35" t="s">
        <v>266</v>
      </c>
      <c r="C3" s="35" t="s">
        <v>267</v>
      </c>
      <c r="D3" s="35" t="s">
        <v>268</v>
      </c>
      <c r="E3" s="35" t="s">
        <v>269</v>
      </c>
      <c r="F3" s="35" t="s">
        <v>270</v>
      </c>
      <c r="G3" s="1"/>
    </row>
    <row r="4" spans="1:7" ht="18" customHeight="1">
      <c r="A4" s="1"/>
      <c r="B4" s="5" t="s">
        <v>271</v>
      </c>
      <c r="C4" s="8">
        <f>'📊 Takeoff &amp; Quote'!Q7</f>
        <v>0</v>
      </c>
      <c r="D4" s="17"/>
      <c r="E4" s="8">
        <f>D4-C4</f>
        <v>0</v>
      </c>
      <c r="F4" s="9"/>
      <c r="G4" s="1"/>
    </row>
    <row r="5" spans="1:7" ht="18" customHeight="1">
      <c r="A5" s="1"/>
      <c r="B5" s="74" t="s">
        <v>272</v>
      </c>
      <c r="C5" s="60"/>
      <c r="D5" s="60"/>
      <c r="E5" s="60"/>
      <c r="F5" s="61"/>
      <c r="G5" s="15">
        <f>D4</f>
        <v>0</v>
      </c>
    </row>
    <row r="6" spans="1:7" ht="15" customHeight="1">
      <c r="A6" s="1"/>
      <c r="B6" s="35" t="s">
        <v>273</v>
      </c>
      <c r="C6" s="35" t="s">
        <v>274</v>
      </c>
      <c r="D6" s="35" t="s">
        <v>275</v>
      </c>
      <c r="E6" s="35" t="s">
        <v>269</v>
      </c>
      <c r="F6" s="35" t="s">
        <v>270</v>
      </c>
      <c r="G6" s="15">
        <f>D13</f>
        <v>0</v>
      </c>
    </row>
    <row r="7" spans="1:7" ht="26.25" customHeight="1">
      <c r="A7" s="1"/>
      <c r="B7" s="5" t="s">
        <v>276</v>
      </c>
      <c r="C7" s="8">
        <f>IFERROR(SUMIF('📊 Takeoff &amp; Quote'!G11:G14,"&gt;0",'📊 Takeoff &amp; Quote'!G11:G14)+SUMIF('📊 Takeoff &amp; Quote'!G18:G21,"&gt;0",'📊 Takeoff &amp; Quote'!G18:G21)+SUMIF('📊 Takeoff &amp; Quote'!G25:G28,"&gt;0",'📊 Takeoff &amp; Quote'!G25:G28)+SUMIF('📊 Takeoff &amp; Quote'!G32:G37,"&gt;0",'📊 Takeoff &amp; Quote'!G32:G37)+SUMIF('📊 Takeoff &amp; Quote'!G41:G45,"&gt;0",'📊 Takeoff &amp; Quote'!G41:G45)+SUMIF('📊 Takeoff &amp; Quote'!G49:G52,"&gt;0",'📊 Takeoff &amp; Quote'!G49:G52)+SUMIF('📊 Takeoff &amp; Quote'!G56:G61,"&gt;0",'📊 Takeoff &amp; Quote'!G56:G61),0)</f>
        <v>0</v>
      </c>
      <c r="D7" s="8">
        <f>IFERROR(SUM('🧾 Material Log'!H3:H32),0)</f>
        <v>0</v>
      </c>
      <c r="E7" s="8" t="str">
        <f t="shared" ref="E7:E12" si="0">IF(C7=0,"-",D7-C7)</f>
        <v>-</v>
      </c>
      <c r="F7" s="9">
        <f t="shared" ref="F7:F13" si="1">IF(C7=0,0,(D7-C7)/C7)</f>
        <v>0</v>
      </c>
      <c r="G7" s="15">
        <f t="shared" ref="G7:G8" si="2">D26</f>
        <v>0</v>
      </c>
    </row>
    <row r="8" spans="1:7" ht="26.25" customHeight="1">
      <c r="A8" s="1"/>
      <c r="B8" s="5" t="s">
        <v>277</v>
      </c>
      <c r="C8" s="8">
        <f>IFERROR((SUMIF('📊 Takeoff &amp; Quote'!H11:H14,"&gt;0",'📊 Takeoff &amp; Quote'!H11:H14)+SUMIF('📊 Takeoff &amp; Quote'!H18:H21,"&gt;0",'📊 Takeoff &amp; Quote'!H18:H21)+SUMIF('📊 Takeoff &amp; Quote'!H25:H28,"&gt;0",'📊 Takeoff &amp; Quote'!H25:H28)+SUMIF('📊 Takeoff &amp; Quote'!H32:H37,"&gt;0",'📊 Takeoff &amp; Quote'!H32:H37)+SUMIF('📊 Takeoff &amp; Quote'!H41:H45,"&gt;0",'📊 Takeoff &amp; Quote'!H41:H45)+SUMIF('📊 Takeoff &amp; Quote'!H49:H52,"&gt;0",'📊 Takeoff &amp; Quote'!H49:H52)+SUMIF('📊 Takeoff &amp; Quote'!H56:H61,"&gt;0",'📊 Takeoff &amp; Quote'!H56:H61))*'📊 Takeoff &amp; Quote'!E8,0)</f>
        <v>0</v>
      </c>
      <c r="D8" s="8">
        <f>IFERROR(SUMPRODUCT((ISNUMBER('⏱️ Labour &amp; Machine Log'!G3:G31))*('⏱️ Labour &amp; Machine Log'!G3:G31)),0)</f>
        <v>0</v>
      </c>
      <c r="E8" s="8" t="str">
        <f t="shared" si="0"/>
        <v>-</v>
      </c>
      <c r="F8" s="9">
        <f t="shared" si="1"/>
        <v>0</v>
      </c>
      <c r="G8" s="20">
        <f t="shared" si="2"/>
        <v>0</v>
      </c>
    </row>
    <row r="9" spans="1:7" ht="26.25" customHeight="1">
      <c r="A9" s="1"/>
      <c r="B9" s="5" t="s">
        <v>278</v>
      </c>
      <c r="C9" s="8">
        <f>IFERROR((SUMIF('📊 Takeoff &amp; Quote'!J11:J14,"&gt;0",'📊 Takeoff &amp; Quote'!J11:J14)+SUMIF('📊 Takeoff &amp; Quote'!J18:J21,"&gt;0",'📊 Takeoff &amp; Quote'!J18:J21)+SUMIF('📊 Takeoff &amp; Quote'!J25:J28,"&gt;0",'📊 Takeoff &amp; Quote'!J25:J28)+SUMIF('📊 Takeoff &amp; Quote'!J32:J37,"&gt;0",'📊 Takeoff &amp; Quote'!J32:J37)+SUMIF('📊 Takeoff &amp; Quote'!J41:J45,"&gt;0",'📊 Takeoff &amp; Quote'!J41:J45)+SUMIF('📊 Takeoff &amp; Quote'!J49:J52,"&gt;0",'📊 Takeoff &amp; Quote'!J49:J52)+SUMIF('📊 Takeoff &amp; Quote'!J56:J61,"&gt;0",'📊 Takeoff &amp; Quote'!J56:J61))*'📊 Takeoff &amp; Quote'!G8,0)</f>
        <v>0</v>
      </c>
      <c r="D9" s="8">
        <f>IFERROR(SUMPRODUCT((ISNUMBER('⏱️ Labour &amp; Machine Log'!J3:J31))*('⏱️ Labour &amp; Machine Log'!J3:J31)),0)</f>
        <v>0</v>
      </c>
      <c r="E9" s="8" t="str">
        <f t="shared" si="0"/>
        <v>-</v>
      </c>
      <c r="F9" s="9">
        <f t="shared" si="1"/>
        <v>0</v>
      </c>
      <c r="G9" s="1"/>
    </row>
    <row r="10" spans="1:7" ht="26.25" customHeight="1">
      <c r="A10" s="1"/>
      <c r="B10" s="5" t="s">
        <v>279</v>
      </c>
      <c r="C10" s="17">
        <f>'📊 Takeoff &amp; Quote'!M62</f>
        <v>0</v>
      </c>
      <c r="D10" s="17"/>
      <c r="E10" s="8" t="str">
        <f t="shared" si="0"/>
        <v>-</v>
      </c>
      <c r="F10" s="9">
        <f t="shared" si="1"/>
        <v>0</v>
      </c>
      <c r="G10" s="1"/>
    </row>
    <row r="11" spans="1:7" ht="26.25" customHeight="1">
      <c r="A11" s="1"/>
      <c r="B11" s="5" t="s">
        <v>280</v>
      </c>
      <c r="C11" s="17"/>
      <c r="D11" s="17"/>
      <c r="E11" s="8" t="str">
        <f t="shared" si="0"/>
        <v>-</v>
      </c>
      <c r="F11" s="9">
        <f t="shared" si="1"/>
        <v>0</v>
      </c>
      <c r="G11" s="1"/>
    </row>
    <row r="12" spans="1:7" ht="26.25" customHeight="1">
      <c r="A12" s="1"/>
      <c r="B12" s="5" t="s">
        <v>281</v>
      </c>
      <c r="C12" s="17"/>
      <c r="D12" s="17"/>
      <c r="E12" s="8" t="str">
        <f t="shared" si="0"/>
        <v>-</v>
      </c>
      <c r="F12" s="9">
        <f t="shared" si="1"/>
        <v>0</v>
      </c>
      <c r="G12" s="1"/>
    </row>
    <row r="13" spans="1:7" ht="26.25" customHeight="1">
      <c r="A13" s="1"/>
      <c r="B13" s="7" t="s">
        <v>282</v>
      </c>
      <c r="C13" s="25">
        <f t="shared" ref="C13:D13" si="3">SUM(C7:C12)</f>
        <v>0</v>
      </c>
      <c r="D13" s="25">
        <f t="shared" si="3"/>
        <v>0</v>
      </c>
      <c r="E13" s="25">
        <f>D13-C13</f>
        <v>0</v>
      </c>
      <c r="F13" s="53">
        <f t="shared" si="1"/>
        <v>0</v>
      </c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 ht="18" customHeight="1">
      <c r="A15" s="1"/>
      <c r="B15" s="74" t="s">
        <v>283</v>
      </c>
      <c r="C15" s="60"/>
      <c r="D15" s="60"/>
      <c r="E15" s="60"/>
      <c r="F15" s="61"/>
      <c r="G15" s="1"/>
    </row>
    <row r="16" spans="1:7" ht="15" customHeight="1">
      <c r="A16" s="1"/>
      <c r="B16" s="35" t="s">
        <v>246</v>
      </c>
      <c r="C16" s="35" t="s">
        <v>267</v>
      </c>
      <c r="D16" s="35" t="s">
        <v>284</v>
      </c>
      <c r="E16" s="35" t="s">
        <v>269</v>
      </c>
      <c r="F16" s="35" t="s">
        <v>270</v>
      </c>
      <c r="G16" s="1"/>
    </row>
    <row r="17" spans="1:7" ht="23.25" customHeight="1">
      <c r="A17" s="1"/>
      <c r="B17" s="5" t="s">
        <v>285</v>
      </c>
      <c r="C17" s="17"/>
      <c r="D17" s="17"/>
      <c r="E17" s="8">
        <f t="shared" ref="E17:E19" si="4">D17-C17</f>
        <v>0</v>
      </c>
      <c r="F17" s="9">
        <f t="shared" ref="F17:F19" si="5">IF(C17=0,0,(D17-C17)/C17)</f>
        <v>0</v>
      </c>
      <c r="G17" s="1"/>
    </row>
    <row r="18" spans="1:7" ht="23.25" customHeight="1">
      <c r="A18" s="1"/>
      <c r="B18" s="5" t="s">
        <v>286</v>
      </c>
      <c r="C18" s="17"/>
      <c r="D18" s="17"/>
      <c r="E18" s="8">
        <f t="shared" si="4"/>
        <v>0</v>
      </c>
      <c r="F18" s="9">
        <f t="shared" si="5"/>
        <v>0</v>
      </c>
      <c r="G18" s="1"/>
    </row>
    <row r="19" spans="1:7" ht="23.25" customHeight="1">
      <c r="A19" s="1"/>
      <c r="B19" s="5" t="s">
        <v>287</v>
      </c>
      <c r="C19" s="17"/>
      <c r="D19" s="17"/>
      <c r="E19" s="8">
        <f t="shared" si="4"/>
        <v>0</v>
      </c>
      <c r="F19" s="9">
        <f t="shared" si="5"/>
        <v>0</v>
      </c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 ht="18" customHeight="1">
      <c r="A21" s="1"/>
      <c r="B21" s="97" t="s">
        <v>288</v>
      </c>
      <c r="C21" s="60"/>
      <c r="D21" s="60"/>
      <c r="E21" s="60"/>
      <c r="F21" s="61"/>
      <c r="G21" s="1"/>
    </row>
    <row r="22" spans="1:7" ht="15" customHeight="1">
      <c r="A22" s="1"/>
      <c r="B22" s="10"/>
      <c r="C22" s="10" t="s">
        <v>267</v>
      </c>
      <c r="D22" s="10" t="s">
        <v>284</v>
      </c>
      <c r="E22" s="10" t="s">
        <v>269</v>
      </c>
      <c r="F22" s="10" t="s">
        <v>270</v>
      </c>
      <c r="G22" s="1"/>
    </row>
    <row r="23" spans="1:7" ht="24" customHeight="1">
      <c r="A23" s="1"/>
      <c r="B23" s="5" t="s">
        <v>289</v>
      </c>
      <c r="C23" s="8">
        <f t="shared" ref="C23:D23" si="6">C4</f>
        <v>0</v>
      </c>
      <c r="D23" s="8">
        <f t="shared" si="6"/>
        <v>0</v>
      </c>
      <c r="E23" s="8">
        <f t="shared" ref="E23:E26" si="7">D23-C23</f>
        <v>0</v>
      </c>
      <c r="F23" s="9">
        <f t="shared" ref="F23:F26" si="8">IF(C23=0,0,(D23-C23)/C23)</f>
        <v>0</v>
      </c>
      <c r="G23" s="1"/>
    </row>
    <row r="24" spans="1:7" ht="24" customHeight="1">
      <c r="A24" s="1"/>
      <c r="B24" s="5" t="s">
        <v>290</v>
      </c>
      <c r="C24" s="8">
        <f t="shared" ref="C24:D24" si="9">C13</f>
        <v>0</v>
      </c>
      <c r="D24" s="8">
        <f t="shared" si="9"/>
        <v>0</v>
      </c>
      <c r="E24" s="8">
        <f t="shared" si="7"/>
        <v>0</v>
      </c>
      <c r="F24" s="9">
        <f t="shared" si="8"/>
        <v>0</v>
      </c>
      <c r="G24" s="1"/>
    </row>
    <row r="25" spans="1:7" ht="24" customHeight="1">
      <c r="A25" s="1"/>
      <c r="B25" s="5" t="s">
        <v>291</v>
      </c>
      <c r="C25" s="8">
        <f t="shared" ref="C25:D25" si="10">SUM(C17:C19)</f>
        <v>0</v>
      </c>
      <c r="D25" s="8">
        <f t="shared" si="10"/>
        <v>0</v>
      </c>
      <c r="E25" s="8">
        <f t="shared" si="7"/>
        <v>0</v>
      </c>
      <c r="F25" s="9">
        <f t="shared" si="8"/>
        <v>0</v>
      </c>
      <c r="G25" s="1"/>
    </row>
    <row r="26" spans="1:7" ht="24" customHeight="1">
      <c r="A26" s="1"/>
      <c r="B26" s="54" t="s">
        <v>292</v>
      </c>
      <c r="C26" s="55">
        <f t="shared" ref="C26:D26" si="11">C23-C24-C25</f>
        <v>0</v>
      </c>
      <c r="D26" s="55">
        <f t="shared" si="11"/>
        <v>0</v>
      </c>
      <c r="E26" s="55">
        <f t="shared" si="7"/>
        <v>0</v>
      </c>
      <c r="F26" s="56">
        <f t="shared" si="8"/>
        <v>0</v>
      </c>
      <c r="G26" s="1"/>
    </row>
    <row r="27" spans="1:7" ht="19.5" customHeight="1">
      <c r="A27" s="1"/>
      <c r="B27" s="7" t="s">
        <v>293</v>
      </c>
      <c r="C27" s="30">
        <f t="shared" ref="C27:D27" si="12">IF(C23=0,0,C26/C23)</f>
        <v>0</v>
      </c>
      <c r="D27" s="30">
        <f t="shared" si="12"/>
        <v>0</v>
      </c>
      <c r="E27" s="1"/>
      <c r="F27" s="1"/>
      <c r="G27" s="1"/>
    </row>
    <row r="28" spans="1:7" ht="15.75" customHeight="1">
      <c r="A28" s="1"/>
      <c r="B28" s="1"/>
      <c r="C28" s="1"/>
      <c r="D28" s="1"/>
      <c r="E28" s="1"/>
      <c r="F28" s="1"/>
      <c r="G28" s="1"/>
    </row>
    <row r="29" spans="1:7" ht="15" customHeight="1">
      <c r="A29" s="1"/>
      <c r="B29" s="57" t="s">
        <v>294</v>
      </c>
      <c r="C29" s="1"/>
      <c r="D29" s="1"/>
      <c r="E29" s="1"/>
      <c r="F29" s="1"/>
      <c r="G29" s="1"/>
    </row>
    <row r="30" spans="1:7" ht="15" customHeight="1">
      <c r="A30" s="1"/>
      <c r="B30" s="1" t="s">
        <v>295</v>
      </c>
      <c r="C30" s="1" t="s">
        <v>296</v>
      </c>
      <c r="D30" s="1" t="s">
        <v>284</v>
      </c>
      <c r="E30" s="1" t="s">
        <v>269</v>
      </c>
      <c r="F30" s="1" t="s">
        <v>160</v>
      </c>
      <c r="G30" s="1"/>
    </row>
    <row r="31" spans="1:7" ht="15" customHeight="1">
      <c r="A31" s="1"/>
      <c r="B31" s="1" t="s">
        <v>297</v>
      </c>
      <c r="C31" s="1">
        <f>IFERROR(SUMIF('📊 Takeoff &amp; Quote'!H11:H14,"&gt;0",'📊 Takeoff &amp; Quote'!H11:H14)+SUMIF('📊 Takeoff &amp; Quote'!H18:H21,"&gt;0",'📊 Takeoff &amp; Quote'!H18:H21)+SUMIF('📊 Takeoff &amp; Quote'!H25:H28,"&gt;0",'📊 Takeoff &amp; Quote'!H25:H28)+SUMIF('📊 Takeoff &amp; Quote'!H32:H37,"&gt;0",'📊 Takeoff &amp; Quote'!H32:H37)+SUMIF('📊 Takeoff &amp; Quote'!H41:H45,"&gt;0",'📊 Takeoff &amp; Quote'!H41:H45)+SUMIF('📊 Takeoff &amp; Quote'!H49:H52,"&gt;0",'📊 Takeoff &amp; Quote'!H49:H52)+SUMIF('📊 Takeoff &amp; Quote'!H56:H61,"&gt;0",'📊 Takeoff &amp; Quote'!H56:H61),0)</f>
        <v>0</v>
      </c>
      <c r="D31" s="15">
        <f>SUM('⏱️ Labour &amp; Machine Log'!E3:E31)</f>
        <v>0</v>
      </c>
      <c r="E31" s="15">
        <f t="shared" ref="E31:E34" si="13">D31-C31</f>
        <v>0</v>
      </c>
      <c r="F31" s="1" t="s">
        <v>298</v>
      </c>
      <c r="G31" s="1"/>
    </row>
    <row r="32" spans="1:7" ht="15" customHeight="1">
      <c r="A32" s="1"/>
      <c r="B32" s="1" t="s">
        <v>299</v>
      </c>
      <c r="C32" s="15">
        <f>C31*'📊 Takeoff &amp; Quote'!E8</f>
        <v>0</v>
      </c>
      <c r="D32" s="49">
        <f>IFERROR(SUMPRODUCT((ISNUMBER('⏱️ Labour &amp; Machine Log'!G3:G31))*('⏱️ Labour &amp; Machine Log'!G3:G31)),0)</f>
        <v>0</v>
      </c>
      <c r="E32" s="58">
        <f t="shared" si="13"/>
        <v>0</v>
      </c>
      <c r="F32" s="49" t="s">
        <v>300</v>
      </c>
      <c r="G32" s="1"/>
    </row>
    <row r="33" spans="1:7" ht="15" customHeight="1">
      <c r="A33" s="1"/>
      <c r="B33" s="1" t="s">
        <v>301</v>
      </c>
      <c r="C33" s="1">
        <f>C31*'📊 Takeoff &amp; Quote'!P8</f>
        <v>0</v>
      </c>
      <c r="D33" s="1">
        <f>IFERROR(SUMPRODUCT((ISNUMBER('⏱️ Labour &amp; Machine Log'!L3:L31))*('⏱️ Labour &amp; Machine Log'!L3:L31)),0)</f>
        <v>0</v>
      </c>
      <c r="E33" s="1">
        <f t="shared" si="13"/>
        <v>0</v>
      </c>
      <c r="F33" s="1" t="s">
        <v>302</v>
      </c>
      <c r="G33" s="1"/>
    </row>
    <row r="34" spans="1:7" ht="15" customHeight="1">
      <c r="A34" s="1"/>
      <c r="B34" s="1" t="s">
        <v>303</v>
      </c>
      <c r="C34" s="15">
        <f t="shared" ref="C34:D34" si="14">C33-C32</f>
        <v>0</v>
      </c>
      <c r="D34" s="1">
        <f t="shared" si="14"/>
        <v>0</v>
      </c>
      <c r="E34" s="15">
        <f t="shared" si="13"/>
        <v>0</v>
      </c>
      <c r="F34" s="1" t="s">
        <v>304</v>
      </c>
      <c r="G34" s="1"/>
    </row>
    <row r="35" spans="1:7" ht="15.75" customHeight="1">
      <c r="A35" s="1"/>
      <c r="B35" s="1"/>
      <c r="C35" s="1"/>
      <c r="D35" s="1"/>
      <c r="E35" s="1"/>
      <c r="F35" s="1"/>
      <c r="G35" s="1"/>
    </row>
    <row r="36" spans="1:7" ht="15.75" customHeight="1">
      <c r="A36" s="1"/>
      <c r="B36" s="1"/>
      <c r="C36" s="1"/>
      <c r="D36" s="1"/>
      <c r="E36" s="1"/>
      <c r="F36" s="1"/>
      <c r="G36" s="1"/>
    </row>
    <row r="37" spans="1:7" ht="15.75" customHeight="1">
      <c r="A37" s="1"/>
      <c r="B37" s="1"/>
      <c r="C37" s="1"/>
      <c r="D37" s="1"/>
      <c r="E37" s="1"/>
      <c r="F37" s="1"/>
      <c r="G37" s="1"/>
    </row>
    <row r="38" spans="1:7" ht="15.75" customHeight="1">
      <c r="A38" s="1"/>
      <c r="B38" s="1"/>
      <c r="C38" s="1"/>
      <c r="D38" s="1"/>
      <c r="E38" s="1"/>
      <c r="F38" s="1"/>
      <c r="G38" s="1"/>
    </row>
    <row r="39" spans="1:7" ht="15.75" customHeight="1">
      <c r="A39" s="1"/>
      <c r="B39" s="1"/>
      <c r="C39" s="1"/>
      <c r="D39" s="1"/>
      <c r="E39" s="1"/>
      <c r="F39" s="1"/>
      <c r="G39" s="1"/>
    </row>
    <row r="40" spans="1:7" ht="15.75" customHeight="1">
      <c r="A40" s="1"/>
      <c r="B40" s="1"/>
      <c r="C40" s="1"/>
      <c r="D40" s="1"/>
      <c r="E40" s="1"/>
      <c r="F40" s="1"/>
      <c r="G40" s="1"/>
    </row>
    <row r="41" spans="1:7" ht="15.75" customHeight="1">
      <c r="A41" s="1"/>
      <c r="B41" s="1"/>
      <c r="C41" s="1"/>
      <c r="D41" s="1"/>
      <c r="E41" s="1"/>
      <c r="F41" s="1"/>
      <c r="G41" s="1"/>
    </row>
    <row r="42" spans="1:7" ht="15.75" customHeight="1">
      <c r="A42" s="1"/>
      <c r="B42" s="1"/>
      <c r="C42" s="1"/>
      <c r="D42" s="1"/>
      <c r="E42" s="1"/>
      <c r="F42" s="1"/>
      <c r="G42" s="1"/>
    </row>
    <row r="43" spans="1:7" ht="15.75" customHeight="1">
      <c r="A43" s="1"/>
      <c r="B43" s="1"/>
      <c r="C43" s="1"/>
      <c r="D43" s="1"/>
      <c r="E43" s="1"/>
      <c r="F43" s="1"/>
      <c r="G43" s="1"/>
    </row>
    <row r="44" spans="1:7" ht="15.75" customHeight="1">
      <c r="A44" s="1"/>
      <c r="B44" s="1"/>
      <c r="C44" s="1"/>
      <c r="D44" s="1"/>
      <c r="E44" s="1"/>
      <c r="F44" s="1"/>
      <c r="G44" s="1"/>
    </row>
    <row r="45" spans="1:7" ht="15.75" customHeight="1">
      <c r="A45" s="1"/>
      <c r="B45" s="1"/>
      <c r="C45" s="1"/>
      <c r="D45" s="1"/>
      <c r="E45" s="1"/>
      <c r="F45" s="1"/>
      <c r="G45" s="1"/>
    </row>
    <row r="46" spans="1:7" ht="15.75" customHeight="1">
      <c r="A46" s="1"/>
      <c r="B46" s="1"/>
      <c r="C46" s="1"/>
      <c r="D46" s="1"/>
      <c r="E46" s="1"/>
      <c r="F46" s="1"/>
      <c r="G46" s="1"/>
    </row>
    <row r="47" spans="1:7" ht="15.75" customHeight="1">
      <c r="A47" s="1"/>
      <c r="B47" s="1"/>
      <c r="C47" s="1"/>
      <c r="D47" s="1"/>
      <c r="E47" s="1"/>
      <c r="F47" s="1"/>
      <c r="G47" s="1"/>
    </row>
    <row r="48" spans="1:7" ht="15.75" customHeight="1">
      <c r="A48" s="1"/>
      <c r="B48" s="1"/>
      <c r="C48" s="1"/>
      <c r="D48" s="1"/>
      <c r="E48" s="1"/>
      <c r="F48" s="1"/>
      <c r="G48" s="1"/>
    </row>
    <row r="49" spans="1:7" ht="15.75" customHeight="1">
      <c r="A49" s="1"/>
      <c r="B49" s="1"/>
      <c r="C49" s="1"/>
      <c r="D49" s="1"/>
      <c r="E49" s="1"/>
      <c r="F49" s="1"/>
      <c r="G49" s="1"/>
    </row>
    <row r="50" spans="1:7" ht="15.75" customHeight="1">
      <c r="A50" s="1"/>
      <c r="B50" s="1"/>
      <c r="C50" s="1"/>
      <c r="D50" s="1"/>
      <c r="E50" s="1"/>
      <c r="F50" s="1"/>
      <c r="G50" s="1"/>
    </row>
    <row r="51" spans="1:7" ht="15.75" customHeight="1">
      <c r="A51" s="1"/>
      <c r="B51" s="1"/>
      <c r="C51" s="1"/>
      <c r="D51" s="1"/>
      <c r="E51" s="1"/>
      <c r="F51" s="1"/>
      <c r="G51" s="1"/>
    </row>
    <row r="52" spans="1:7" ht="15.75" customHeight="1">
      <c r="A52" s="1"/>
      <c r="B52" s="1"/>
      <c r="C52" s="1"/>
      <c r="D52" s="1"/>
      <c r="E52" s="1"/>
      <c r="F52" s="1"/>
      <c r="G52" s="1"/>
    </row>
    <row r="53" spans="1:7" ht="15.75" customHeight="1">
      <c r="A53" s="1"/>
      <c r="B53" s="1"/>
      <c r="C53" s="1"/>
      <c r="D53" s="1"/>
      <c r="E53" s="1"/>
      <c r="F53" s="1"/>
      <c r="G53" s="1"/>
    </row>
    <row r="54" spans="1:7" ht="15.75" customHeight="1">
      <c r="A54" s="1"/>
      <c r="B54" s="1"/>
      <c r="C54" s="1"/>
      <c r="D54" s="1"/>
      <c r="E54" s="1"/>
      <c r="F54" s="1"/>
      <c r="G54" s="1"/>
    </row>
    <row r="55" spans="1:7" ht="15.75" customHeight="1">
      <c r="A55" s="1"/>
      <c r="B55" s="1"/>
      <c r="C55" s="1"/>
      <c r="D55" s="1"/>
      <c r="E55" s="1"/>
      <c r="F55" s="1"/>
      <c r="G55" s="1"/>
    </row>
    <row r="56" spans="1:7" ht="15.75" customHeight="1">
      <c r="A56" s="1"/>
      <c r="B56" s="1"/>
      <c r="C56" s="1"/>
      <c r="D56" s="1"/>
      <c r="E56" s="1"/>
      <c r="F56" s="1"/>
      <c r="G56" s="1"/>
    </row>
    <row r="57" spans="1:7" ht="15.75" customHeight="1">
      <c r="A57" s="1"/>
      <c r="B57" s="1"/>
      <c r="C57" s="1"/>
      <c r="D57" s="1"/>
      <c r="E57" s="1"/>
      <c r="F57" s="1"/>
      <c r="G57" s="1"/>
    </row>
    <row r="58" spans="1:7" ht="15.75" customHeight="1">
      <c r="A58" s="1"/>
      <c r="B58" s="1"/>
      <c r="C58" s="1"/>
      <c r="D58" s="1"/>
      <c r="E58" s="1"/>
      <c r="F58" s="1"/>
      <c r="G58" s="1"/>
    </row>
    <row r="59" spans="1:7" ht="15.75" customHeight="1">
      <c r="A59" s="1"/>
      <c r="B59" s="1"/>
      <c r="C59" s="1"/>
      <c r="D59" s="1"/>
      <c r="E59" s="1"/>
      <c r="F59" s="1"/>
      <c r="G59" s="1"/>
    </row>
    <row r="60" spans="1:7" ht="15.75" customHeight="1">
      <c r="A60" s="1"/>
      <c r="B60" s="1"/>
      <c r="C60" s="1"/>
      <c r="D60" s="1"/>
      <c r="E60" s="1"/>
      <c r="F60" s="1"/>
      <c r="G60" s="1"/>
    </row>
    <row r="61" spans="1:7" ht="15.75" customHeight="1">
      <c r="A61" s="1"/>
      <c r="B61" s="1"/>
      <c r="C61" s="1"/>
      <c r="D61" s="1"/>
      <c r="E61" s="1"/>
      <c r="F61" s="1"/>
      <c r="G61" s="1"/>
    </row>
    <row r="62" spans="1:7" ht="15.75" customHeight="1">
      <c r="A62" s="1"/>
      <c r="B62" s="1"/>
      <c r="C62" s="1"/>
      <c r="D62" s="1"/>
      <c r="E62" s="1"/>
      <c r="F62" s="1"/>
      <c r="G62" s="1"/>
    </row>
    <row r="63" spans="1:7" ht="15.75" customHeight="1">
      <c r="A63" s="1"/>
      <c r="B63" s="1"/>
      <c r="C63" s="1"/>
      <c r="D63" s="1"/>
      <c r="E63" s="1"/>
      <c r="F63" s="1"/>
      <c r="G63" s="1"/>
    </row>
    <row r="64" spans="1:7" ht="15.75" customHeight="1">
      <c r="A64" s="1"/>
      <c r="B64" s="1"/>
      <c r="C64" s="1"/>
      <c r="D64" s="1"/>
      <c r="E64" s="1"/>
      <c r="F64" s="1"/>
      <c r="G64" s="1"/>
    </row>
    <row r="65" spans="1:7" ht="15.75" customHeight="1">
      <c r="A65" s="1"/>
      <c r="B65" s="1"/>
      <c r="C65" s="1"/>
      <c r="D65" s="1"/>
      <c r="E65" s="1"/>
      <c r="F65" s="1"/>
      <c r="G65" s="1"/>
    </row>
    <row r="66" spans="1:7" ht="15.75" customHeight="1">
      <c r="A66" s="1"/>
      <c r="B66" s="1"/>
      <c r="C66" s="1"/>
      <c r="D66" s="1"/>
      <c r="E66" s="1"/>
      <c r="F66" s="1"/>
      <c r="G66" s="1"/>
    </row>
    <row r="67" spans="1:7" ht="15.75" customHeight="1">
      <c r="A67" s="1"/>
      <c r="B67" s="1"/>
      <c r="C67" s="1"/>
      <c r="D67" s="1"/>
      <c r="E67" s="1"/>
      <c r="F67" s="1"/>
      <c r="G67" s="1"/>
    </row>
    <row r="68" spans="1:7" ht="15.75" customHeight="1">
      <c r="A68" s="1"/>
      <c r="B68" s="1"/>
      <c r="C68" s="1"/>
      <c r="D68" s="1"/>
      <c r="E68" s="1"/>
      <c r="F68" s="1"/>
      <c r="G68" s="1"/>
    </row>
    <row r="69" spans="1:7" ht="15.75" customHeight="1">
      <c r="A69" s="1"/>
      <c r="B69" s="1"/>
      <c r="C69" s="1"/>
      <c r="D69" s="1"/>
      <c r="E69" s="1"/>
      <c r="F69" s="1"/>
      <c r="G69" s="1"/>
    </row>
    <row r="70" spans="1:7" ht="15.75" customHeight="1">
      <c r="A70" s="1"/>
      <c r="B70" s="1"/>
      <c r="C70" s="1"/>
      <c r="D70" s="1"/>
      <c r="E70" s="1"/>
      <c r="F70" s="1"/>
      <c r="G70" s="1"/>
    </row>
    <row r="71" spans="1:7" ht="15.75" customHeight="1">
      <c r="A71" s="1"/>
      <c r="B71" s="1"/>
      <c r="C71" s="1"/>
      <c r="D71" s="1"/>
      <c r="E71" s="1"/>
      <c r="F71" s="1"/>
      <c r="G71" s="1"/>
    </row>
    <row r="72" spans="1:7" ht="15.75" customHeight="1">
      <c r="A72" s="1"/>
      <c r="B72" s="1"/>
      <c r="C72" s="1"/>
      <c r="D72" s="1"/>
      <c r="E72" s="1"/>
      <c r="F72" s="1"/>
      <c r="G72" s="1"/>
    </row>
    <row r="73" spans="1:7" ht="15.75" customHeight="1">
      <c r="A73" s="1"/>
      <c r="B73" s="1"/>
      <c r="C73" s="1"/>
      <c r="D73" s="1"/>
      <c r="E73" s="1"/>
      <c r="F73" s="1"/>
      <c r="G73" s="1"/>
    </row>
    <row r="74" spans="1:7" ht="15.75" customHeight="1">
      <c r="A74" s="1"/>
      <c r="B74" s="1"/>
      <c r="C74" s="1"/>
      <c r="D74" s="1"/>
      <c r="E74" s="1"/>
      <c r="F74" s="1"/>
      <c r="G74" s="1"/>
    </row>
    <row r="75" spans="1:7" ht="15.75" customHeight="1">
      <c r="A75" s="1"/>
      <c r="B75" s="1"/>
      <c r="C75" s="1"/>
      <c r="D75" s="1"/>
      <c r="E75" s="1"/>
      <c r="F75" s="1"/>
      <c r="G75" s="1"/>
    </row>
    <row r="76" spans="1:7" ht="15.75" customHeight="1">
      <c r="A76" s="1"/>
      <c r="B76" s="1"/>
      <c r="C76" s="1"/>
      <c r="D76" s="1"/>
      <c r="E76" s="1"/>
      <c r="F76" s="1"/>
      <c r="G76" s="1"/>
    </row>
    <row r="77" spans="1:7" ht="15.75" customHeight="1">
      <c r="A77" s="1"/>
      <c r="B77" s="1"/>
      <c r="C77" s="1"/>
      <c r="D77" s="1"/>
      <c r="E77" s="1"/>
      <c r="F77" s="1"/>
      <c r="G77" s="1"/>
    </row>
    <row r="78" spans="1:7" ht="15.75" customHeight="1">
      <c r="A78" s="1"/>
      <c r="B78" s="1"/>
      <c r="C78" s="1"/>
      <c r="D78" s="1"/>
      <c r="E78" s="1"/>
      <c r="F78" s="1"/>
      <c r="G78" s="1"/>
    </row>
    <row r="79" spans="1:7" ht="15.75" customHeight="1">
      <c r="A79" s="1"/>
      <c r="B79" s="1"/>
      <c r="C79" s="1"/>
      <c r="D79" s="1"/>
      <c r="E79" s="1"/>
      <c r="F79" s="1"/>
      <c r="G79" s="1"/>
    </row>
    <row r="80" spans="1:7" ht="15.75" customHeight="1">
      <c r="A80" s="1"/>
      <c r="B80" s="1"/>
      <c r="C80" s="1"/>
      <c r="D80" s="1"/>
      <c r="E80" s="1"/>
      <c r="F80" s="1"/>
      <c r="G80" s="1"/>
    </row>
    <row r="81" spans="1:7" ht="15.75" customHeight="1">
      <c r="A81" s="1"/>
      <c r="B81" s="1"/>
      <c r="C81" s="1"/>
      <c r="D81" s="1"/>
      <c r="E81" s="1"/>
      <c r="F81" s="1"/>
      <c r="G81" s="1"/>
    </row>
    <row r="82" spans="1:7" ht="15.75" customHeight="1">
      <c r="A82" s="1"/>
      <c r="B82" s="1"/>
      <c r="C82" s="1"/>
      <c r="D82" s="1"/>
      <c r="E82" s="1"/>
      <c r="F82" s="1"/>
      <c r="G82" s="1"/>
    </row>
    <row r="83" spans="1:7" ht="15.75" customHeight="1">
      <c r="A83" s="1"/>
      <c r="B83" s="1"/>
      <c r="C83" s="1"/>
      <c r="D83" s="1"/>
      <c r="E83" s="1"/>
      <c r="F83" s="1"/>
      <c r="G83" s="1"/>
    </row>
    <row r="84" spans="1:7" ht="15.75" customHeight="1">
      <c r="A84" s="1"/>
      <c r="B84" s="1"/>
      <c r="C84" s="1"/>
      <c r="D84" s="1"/>
      <c r="E84" s="1"/>
      <c r="F84" s="1"/>
      <c r="G84" s="1"/>
    </row>
    <row r="85" spans="1:7" ht="15.75" customHeight="1">
      <c r="A85" s="1"/>
      <c r="B85" s="1"/>
      <c r="C85" s="1"/>
      <c r="D85" s="1"/>
      <c r="E85" s="1"/>
      <c r="F85" s="1"/>
      <c r="G85" s="1"/>
    </row>
    <row r="86" spans="1:7" ht="15.75" customHeight="1">
      <c r="A86" s="1"/>
      <c r="B86" s="1"/>
      <c r="C86" s="1"/>
      <c r="D86" s="1"/>
      <c r="E86" s="1"/>
      <c r="F86" s="1"/>
      <c r="G86" s="1"/>
    </row>
    <row r="87" spans="1:7" ht="15.75" customHeight="1">
      <c r="A87" s="1"/>
      <c r="B87" s="1"/>
      <c r="C87" s="1"/>
      <c r="D87" s="1"/>
      <c r="E87" s="1"/>
      <c r="F87" s="1"/>
      <c r="G87" s="1"/>
    </row>
    <row r="88" spans="1:7" ht="15.75" customHeight="1">
      <c r="A88" s="1"/>
      <c r="B88" s="1"/>
      <c r="C88" s="1"/>
      <c r="D88" s="1"/>
      <c r="E88" s="1"/>
      <c r="F88" s="1"/>
      <c r="G88" s="1"/>
    </row>
    <row r="89" spans="1:7" ht="15.75" customHeight="1">
      <c r="A89" s="1"/>
      <c r="B89" s="1"/>
      <c r="C89" s="1"/>
      <c r="D89" s="1"/>
      <c r="E89" s="1"/>
      <c r="F89" s="1"/>
      <c r="G89" s="1"/>
    </row>
    <row r="90" spans="1:7" ht="15.75" customHeight="1">
      <c r="A90" s="1"/>
      <c r="B90" s="1"/>
      <c r="C90" s="1"/>
      <c r="D90" s="1"/>
      <c r="E90" s="1"/>
      <c r="F90" s="1"/>
      <c r="G90" s="1"/>
    </row>
    <row r="91" spans="1:7" ht="15.75" customHeight="1">
      <c r="A91" s="1"/>
      <c r="B91" s="1"/>
      <c r="C91" s="1"/>
      <c r="D91" s="1"/>
      <c r="E91" s="1"/>
      <c r="F91" s="1"/>
      <c r="G91" s="1"/>
    </row>
    <row r="92" spans="1:7" ht="15.75" customHeight="1">
      <c r="A92" s="1"/>
      <c r="B92" s="1"/>
      <c r="C92" s="1"/>
      <c r="D92" s="1"/>
      <c r="E92" s="1"/>
      <c r="F92" s="1"/>
      <c r="G92" s="1"/>
    </row>
    <row r="93" spans="1:7" ht="15.75" customHeight="1">
      <c r="A93" s="1"/>
      <c r="B93" s="1"/>
      <c r="C93" s="1"/>
      <c r="D93" s="1"/>
      <c r="E93" s="1"/>
      <c r="F93" s="1"/>
      <c r="G93" s="1"/>
    </row>
    <row r="94" spans="1:7" ht="15.75" customHeight="1">
      <c r="A94" s="1"/>
      <c r="B94" s="1"/>
      <c r="C94" s="1"/>
      <c r="D94" s="1"/>
      <c r="E94" s="1"/>
      <c r="F94" s="1"/>
      <c r="G94" s="1"/>
    </row>
    <row r="95" spans="1:7" ht="15.75" customHeight="1">
      <c r="A95" s="1"/>
      <c r="B95" s="1"/>
      <c r="C95" s="1"/>
      <c r="D95" s="1"/>
      <c r="E95" s="1"/>
      <c r="F95" s="1"/>
      <c r="G95" s="1"/>
    </row>
    <row r="96" spans="1:7" ht="15.75" customHeight="1">
      <c r="A96" s="1"/>
      <c r="B96" s="1"/>
      <c r="C96" s="1"/>
      <c r="D96" s="1"/>
      <c r="E96" s="1"/>
      <c r="F96" s="1"/>
      <c r="G96" s="1"/>
    </row>
    <row r="97" spans="1:7" ht="15.75" customHeight="1">
      <c r="A97" s="1"/>
      <c r="B97" s="1"/>
      <c r="C97" s="1"/>
      <c r="D97" s="1"/>
      <c r="E97" s="1"/>
      <c r="F97" s="1"/>
      <c r="G97" s="1"/>
    </row>
    <row r="98" spans="1:7" ht="15.75" customHeight="1">
      <c r="A98" s="1"/>
      <c r="B98" s="1"/>
      <c r="C98" s="1"/>
      <c r="D98" s="1"/>
      <c r="E98" s="1"/>
      <c r="F98" s="1"/>
      <c r="G98" s="1"/>
    </row>
    <row r="99" spans="1:7" ht="15.75" customHeight="1">
      <c r="A99" s="1"/>
      <c r="B99" s="1"/>
      <c r="C99" s="1"/>
      <c r="D99" s="1"/>
      <c r="E99" s="1"/>
      <c r="F99" s="1"/>
      <c r="G99" s="1"/>
    </row>
    <row r="100" spans="1:7" ht="15.75" customHeight="1">
      <c r="A100" s="1"/>
      <c r="B100" s="1"/>
      <c r="C100" s="1"/>
      <c r="D100" s="1"/>
      <c r="E100" s="1"/>
      <c r="F100" s="1"/>
      <c r="G100" s="1"/>
    </row>
    <row r="101" spans="1:7" ht="15.75" customHeight="1">
      <c r="A101" s="1"/>
      <c r="B101" s="1"/>
      <c r="C101" s="1"/>
      <c r="D101" s="1"/>
      <c r="E101" s="1"/>
      <c r="F101" s="1"/>
      <c r="G101" s="1"/>
    </row>
    <row r="102" spans="1:7" ht="15.75" customHeight="1">
      <c r="A102" s="1"/>
      <c r="B102" s="1"/>
      <c r="C102" s="1"/>
      <c r="D102" s="1"/>
      <c r="E102" s="1"/>
      <c r="F102" s="1"/>
      <c r="G102" s="1"/>
    </row>
    <row r="103" spans="1:7" ht="15.75" customHeight="1">
      <c r="A103" s="1"/>
      <c r="B103" s="1"/>
      <c r="C103" s="1"/>
      <c r="D103" s="1"/>
      <c r="E103" s="1"/>
      <c r="F103" s="1"/>
      <c r="G103" s="1"/>
    </row>
    <row r="104" spans="1:7" ht="15.75" customHeight="1">
      <c r="A104" s="1"/>
      <c r="B104" s="1"/>
      <c r="C104" s="1"/>
      <c r="D104" s="1"/>
      <c r="E104" s="1"/>
      <c r="F104" s="1"/>
      <c r="G104" s="1"/>
    </row>
    <row r="105" spans="1:7" ht="15.75" customHeight="1">
      <c r="A105" s="1"/>
      <c r="B105" s="1"/>
      <c r="C105" s="1"/>
      <c r="D105" s="1"/>
      <c r="E105" s="1"/>
      <c r="F105" s="1"/>
      <c r="G105" s="1"/>
    </row>
    <row r="106" spans="1:7" ht="15.75" customHeight="1">
      <c r="A106" s="1"/>
      <c r="B106" s="1"/>
      <c r="C106" s="1"/>
      <c r="D106" s="1"/>
      <c r="E106" s="1"/>
      <c r="F106" s="1"/>
      <c r="G106" s="1"/>
    </row>
    <row r="107" spans="1:7" ht="15.75" customHeight="1">
      <c r="A107" s="1"/>
      <c r="B107" s="1"/>
      <c r="C107" s="1"/>
      <c r="D107" s="1"/>
      <c r="E107" s="1"/>
      <c r="F107" s="1"/>
      <c r="G107" s="1"/>
    </row>
    <row r="108" spans="1:7" ht="15.75" customHeight="1">
      <c r="A108" s="1"/>
      <c r="B108" s="1"/>
      <c r="C108" s="1"/>
      <c r="D108" s="1"/>
      <c r="E108" s="1"/>
      <c r="F108" s="1"/>
      <c r="G108" s="1"/>
    </row>
    <row r="109" spans="1:7" ht="15.75" customHeight="1">
      <c r="A109" s="1"/>
      <c r="B109" s="1"/>
      <c r="C109" s="1"/>
      <c r="D109" s="1"/>
      <c r="E109" s="1"/>
      <c r="F109" s="1"/>
      <c r="G109" s="1"/>
    </row>
    <row r="110" spans="1:7" ht="15.75" customHeight="1">
      <c r="A110" s="1"/>
      <c r="B110" s="1"/>
      <c r="C110" s="1"/>
      <c r="D110" s="1"/>
      <c r="E110" s="1"/>
      <c r="F110" s="1"/>
      <c r="G110" s="1"/>
    </row>
    <row r="111" spans="1:7" ht="15.75" customHeight="1">
      <c r="A111" s="1"/>
      <c r="B111" s="1"/>
      <c r="C111" s="1"/>
      <c r="D111" s="1"/>
      <c r="E111" s="1"/>
      <c r="F111" s="1"/>
      <c r="G111" s="1"/>
    </row>
    <row r="112" spans="1:7" ht="15.75" customHeight="1">
      <c r="A112" s="1"/>
      <c r="B112" s="1"/>
      <c r="C112" s="1"/>
      <c r="D112" s="1"/>
      <c r="E112" s="1"/>
      <c r="F112" s="1"/>
      <c r="G112" s="1"/>
    </row>
    <row r="113" spans="1:7" ht="15.75" customHeight="1">
      <c r="A113" s="1"/>
      <c r="B113" s="1"/>
      <c r="C113" s="1"/>
      <c r="D113" s="1"/>
      <c r="E113" s="1"/>
      <c r="F113" s="1"/>
      <c r="G113" s="1"/>
    </row>
    <row r="114" spans="1:7" ht="15.75" customHeight="1">
      <c r="A114" s="1"/>
      <c r="B114" s="1"/>
      <c r="C114" s="1"/>
      <c r="D114" s="1"/>
      <c r="E114" s="1"/>
      <c r="F114" s="1"/>
      <c r="G114" s="1"/>
    </row>
    <row r="115" spans="1:7" ht="15.75" customHeight="1">
      <c r="A115" s="1"/>
      <c r="B115" s="1"/>
      <c r="C115" s="1"/>
      <c r="D115" s="1"/>
      <c r="E115" s="1"/>
      <c r="F115" s="1"/>
      <c r="G115" s="1"/>
    </row>
    <row r="116" spans="1:7" ht="15.75" customHeight="1">
      <c r="A116" s="1"/>
      <c r="B116" s="1"/>
      <c r="C116" s="1"/>
      <c r="D116" s="1"/>
      <c r="E116" s="1"/>
      <c r="F116" s="1"/>
      <c r="G116" s="1"/>
    </row>
    <row r="117" spans="1:7" ht="15.75" customHeight="1">
      <c r="A117" s="1"/>
      <c r="B117" s="1"/>
      <c r="C117" s="1"/>
      <c r="D117" s="1"/>
      <c r="E117" s="1"/>
      <c r="F117" s="1"/>
      <c r="G117" s="1"/>
    </row>
    <row r="118" spans="1:7" ht="15.75" customHeight="1">
      <c r="A118" s="1"/>
      <c r="B118" s="1"/>
      <c r="C118" s="1"/>
      <c r="D118" s="1"/>
      <c r="E118" s="1"/>
      <c r="F118" s="1"/>
      <c r="G118" s="1"/>
    </row>
    <row r="119" spans="1:7" ht="15.75" customHeight="1">
      <c r="A119" s="1"/>
      <c r="B119" s="1"/>
      <c r="C119" s="1"/>
      <c r="D119" s="1"/>
      <c r="E119" s="1"/>
      <c r="F119" s="1"/>
      <c r="G119" s="1"/>
    </row>
    <row r="120" spans="1:7" ht="15.75" customHeight="1">
      <c r="A120" s="1"/>
      <c r="B120" s="1"/>
      <c r="C120" s="1"/>
      <c r="D120" s="1"/>
      <c r="E120" s="1"/>
      <c r="F120" s="1"/>
      <c r="G120" s="1"/>
    </row>
    <row r="121" spans="1:7" ht="15.75" customHeight="1">
      <c r="A121" s="1"/>
      <c r="B121" s="1"/>
      <c r="C121" s="1"/>
      <c r="D121" s="1"/>
      <c r="E121" s="1"/>
      <c r="F121" s="1"/>
      <c r="G121" s="1"/>
    </row>
    <row r="122" spans="1:7" ht="15.75" customHeight="1">
      <c r="A122" s="1"/>
      <c r="B122" s="1"/>
      <c r="C122" s="1"/>
      <c r="D122" s="1"/>
      <c r="E122" s="1"/>
      <c r="F122" s="1"/>
      <c r="G122" s="1"/>
    </row>
    <row r="123" spans="1:7" ht="15.75" customHeight="1">
      <c r="A123" s="1"/>
      <c r="B123" s="1"/>
      <c r="C123" s="1"/>
      <c r="D123" s="1"/>
      <c r="E123" s="1"/>
      <c r="F123" s="1"/>
      <c r="G123" s="1"/>
    </row>
    <row r="124" spans="1:7" ht="15.75" customHeight="1">
      <c r="A124" s="1"/>
      <c r="B124" s="1"/>
      <c r="C124" s="1"/>
      <c r="D124" s="1"/>
      <c r="E124" s="1"/>
      <c r="F124" s="1"/>
      <c r="G124" s="1"/>
    </row>
    <row r="125" spans="1:7" ht="15.75" customHeight="1">
      <c r="A125" s="1"/>
      <c r="B125" s="1"/>
      <c r="C125" s="1"/>
      <c r="D125" s="1"/>
      <c r="E125" s="1"/>
      <c r="F125" s="1"/>
      <c r="G125" s="1"/>
    </row>
    <row r="126" spans="1:7" ht="15.75" customHeight="1">
      <c r="A126" s="1"/>
      <c r="B126" s="1"/>
      <c r="C126" s="1"/>
      <c r="D126" s="1"/>
      <c r="E126" s="1"/>
      <c r="F126" s="1"/>
      <c r="G126" s="1"/>
    </row>
    <row r="127" spans="1:7" ht="15.75" customHeight="1">
      <c r="A127" s="1"/>
      <c r="B127" s="1"/>
      <c r="C127" s="1"/>
      <c r="D127" s="1"/>
      <c r="E127" s="1"/>
      <c r="F127" s="1"/>
      <c r="G127" s="1"/>
    </row>
    <row r="128" spans="1:7" ht="15.75" customHeight="1">
      <c r="A128" s="1"/>
      <c r="B128" s="1"/>
      <c r="C128" s="1"/>
      <c r="D128" s="1"/>
      <c r="E128" s="1"/>
      <c r="F128" s="1"/>
      <c r="G128" s="1"/>
    </row>
    <row r="129" spans="1:7" ht="15.75" customHeight="1">
      <c r="A129" s="1"/>
      <c r="B129" s="1"/>
      <c r="C129" s="1"/>
      <c r="D129" s="1"/>
      <c r="E129" s="1"/>
      <c r="F129" s="1"/>
      <c r="G129" s="1"/>
    </row>
    <row r="130" spans="1:7" ht="15.75" customHeight="1">
      <c r="A130" s="1"/>
      <c r="B130" s="1"/>
      <c r="C130" s="1"/>
      <c r="D130" s="1"/>
      <c r="E130" s="1"/>
      <c r="F130" s="1"/>
      <c r="G130" s="1"/>
    </row>
    <row r="131" spans="1:7" ht="15.75" customHeight="1">
      <c r="A131" s="1"/>
      <c r="B131" s="1"/>
      <c r="C131" s="1"/>
      <c r="D131" s="1"/>
      <c r="E131" s="1"/>
      <c r="F131" s="1"/>
      <c r="G131" s="1"/>
    </row>
    <row r="132" spans="1:7" ht="15.75" customHeight="1">
      <c r="A132" s="1"/>
      <c r="B132" s="1"/>
      <c r="C132" s="1"/>
      <c r="D132" s="1"/>
      <c r="E132" s="1"/>
      <c r="F132" s="1"/>
      <c r="G132" s="1"/>
    </row>
    <row r="133" spans="1:7" ht="15.75" customHeight="1">
      <c r="A133" s="1"/>
      <c r="B133" s="1"/>
      <c r="C133" s="1"/>
      <c r="D133" s="1"/>
      <c r="E133" s="1"/>
      <c r="F133" s="1"/>
      <c r="G133" s="1"/>
    </row>
    <row r="134" spans="1:7" ht="15.75" customHeight="1">
      <c r="A134" s="1"/>
      <c r="B134" s="1"/>
      <c r="C134" s="1"/>
      <c r="D134" s="1"/>
      <c r="E134" s="1"/>
      <c r="F134" s="1"/>
      <c r="G134" s="1"/>
    </row>
    <row r="135" spans="1:7" ht="15.75" customHeight="1">
      <c r="A135" s="1"/>
      <c r="B135" s="1"/>
      <c r="C135" s="1"/>
      <c r="D135" s="1"/>
      <c r="E135" s="1"/>
      <c r="F135" s="1"/>
      <c r="G135" s="1"/>
    </row>
    <row r="136" spans="1:7" ht="15.75" customHeight="1">
      <c r="A136" s="1"/>
      <c r="B136" s="1"/>
      <c r="C136" s="1"/>
      <c r="D136" s="1"/>
      <c r="E136" s="1"/>
      <c r="F136" s="1"/>
      <c r="G136" s="1"/>
    </row>
    <row r="137" spans="1:7" ht="15.75" customHeight="1">
      <c r="A137" s="1"/>
      <c r="B137" s="1"/>
      <c r="C137" s="1"/>
      <c r="D137" s="1"/>
      <c r="E137" s="1"/>
      <c r="F137" s="1"/>
      <c r="G137" s="1"/>
    </row>
    <row r="138" spans="1:7" ht="15.75" customHeight="1">
      <c r="A138" s="1"/>
      <c r="B138" s="1"/>
      <c r="C138" s="1"/>
      <c r="D138" s="1"/>
      <c r="E138" s="1"/>
      <c r="F138" s="1"/>
      <c r="G138" s="1"/>
    </row>
    <row r="139" spans="1:7" ht="15.75" customHeight="1">
      <c r="A139" s="1"/>
      <c r="B139" s="1"/>
      <c r="C139" s="1"/>
      <c r="D139" s="1"/>
      <c r="E139" s="1"/>
      <c r="F139" s="1"/>
      <c r="G139" s="1"/>
    </row>
    <row r="140" spans="1:7" ht="15.75" customHeight="1">
      <c r="A140" s="1"/>
      <c r="B140" s="1"/>
      <c r="C140" s="1"/>
      <c r="D140" s="1"/>
      <c r="E140" s="1"/>
      <c r="F140" s="1"/>
      <c r="G140" s="1"/>
    </row>
    <row r="141" spans="1:7" ht="15.75" customHeight="1">
      <c r="A141" s="1"/>
      <c r="B141" s="1"/>
      <c r="C141" s="1"/>
      <c r="D141" s="1"/>
      <c r="E141" s="1"/>
      <c r="F141" s="1"/>
      <c r="G141" s="1"/>
    </row>
    <row r="142" spans="1:7" ht="15.75" customHeight="1">
      <c r="A142" s="1"/>
      <c r="B142" s="1"/>
      <c r="C142" s="1"/>
      <c r="D142" s="1"/>
      <c r="E142" s="1"/>
      <c r="F142" s="1"/>
      <c r="G142" s="1"/>
    </row>
    <row r="143" spans="1:7" ht="15.75" customHeight="1">
      <c r="A143" s="1"/>
      <c r="B143" s="1"/>
      <c r="C143" s="1"/>
      <c r="D143" s="1"/>
      <c r="E143" s="1"/>
      <c r="F143" s="1"/>
      <c r="G143" s="1"/>
    </row>
    <row r="144" spans="1:7" ht="15.75" customHeight="1">
      <c r="A144" s="1"/>
      <c r="B144" s="1"/>
      <c r="C144" s="1"/>
      <c r="D144" s="1"/>
      <c r="E144" s="1"/>
      <c r="F144" s="1"/>
      <c r="G144" s="1"/>
    </row>
    <row r="145" spans="1:7" ht="15.75" customHeight="1">
      <c r="A145" s="1"/>
      <c r="B145" s="1"/>
      <c r="C145" s="1"/>
      <c r="D145" s="1"/>
      <c r="E145" s="1"/>
      <c r="F145" s="1"/>
      <c r="G145" s="1"/>
    </row>
    <row r="146" spans="1:7" ht="15.75" customHeight="1">
      <c r="A146" s="1"/>
      <c r="B146" s="1"/>
      <c r="C146" s="1"/>
      <c r="D146" s="1"/>
      <c r="E146" s="1"/>
      <c r="F146" s="1"/>
      <c r="G146" s="1"/>
    </row>
    <row r="147" spans="1:7" ht="15.75" customHeight="1">
      <c r="A147" s="1"/>
      <c r="B147" s="1"/>
      <c r="C147" s="1"/>
      <c r="D147" s="1"/>
      <c r="E147" s="1"/>
      <c r="F147" s="1"/>
      <c r="G147" s="1"/>
    </row>
    <row r="148" spans="1:7" ht="15.75" customHeight="1">
      <c r="A148" s="1"/>
      <c r="B148" s="1"/>
      <c r="C148" s="1"/>
      <c r="D148" s="1"/>
      <c r="E148" s="1"/>
      <c r="F148" s="1"/>
      <c r="G148" s="1"/>
    </row>
    <row r="149" spans="1:7" ht="15.75" customHeight="1">
      <c r="A149" s="1"/>
      <c r="B149" s="1"/>
      <c r="C149" s="1"/>
      <c r="D149" s="1"/>
      <c r="E149" s="1"/>
      <c r="F149" s="1"/>
      <c r="G149" s="1"/>
    </row>
    <row r="150" spans="1:7" ht="15.75" customHeight="1">
      <c r="A150" s="1"/>
      <c r="B150" s="1"/>
      <c r="C150" s="1"/>
      <c r="D150" s="1"/>
      <c r="E150" s="1"/>
      <c r="F150" s="1"/>
      <c r="G150" s="1"/>
    </row>
    <row r="151" spans="1:7" ht="15.75" customHeight="1">
      <c r="A151" s="1"/>
      <c r="B151" s="1"/>
      <c r="C151" s="1"/>
      <c r="D151" s="1"/>
      <c r="E151" s="1"/>
      <c r="F151" s="1"/>
      <c r="G151" s="1"/>
    </row>
    <row r="152" spans="1:7" ht="15.75" customHeight="1">
      <c r="A152" s="1"/>
      <c r="B152" s="1"/>
      <c r="C152" s="1"/>
      <c r="D152" s="1"/>
      <c r="E152" s="1"/>
      <c r="F152" s="1"/>
      <c r="G152" s="1"/>
    </row>
    <row r="153" spans="1:7" ht="15.75" customHeight="1">
      <c r="A153" s="1"/>
      <c r="B153" s="1"/>
      <c r="C153" s="1"/>
      <c r="D153" s="1"/>
      <c r="E153" s="1"/>
      <c r="F153" s="1"/>
      <c r="G153" s="1"/>
    </row>
    <row r="154" spans="1:7" ht="15.75" customHeight="1">
      <c r="A154" s="1"/>
      <c r="B154" s="1"/>
      <c r="C154" s="1"/>
      <c r="D154" s="1"/>
      <c r="E154" s="1"/>
      <c r="F154" s="1"/>
      <c r="G154" s="1"/>
    </row>
    <row r="155" spans="1:7" ht="15.75" customHeight="1">
      <c r="A155" s="1"/>
      <c r="B155" s="1"/>
      <c r="C155" s="1"/>
      <c r="D155" s="1"/>
      <c r="E155" s="1"/>
      <c r="F155" s="1"/>
      <c r="G155" s="1"/>
    </row>
    <row r="156" spans="1:7" ht="15.75" customHeight="1">
      <c r="A156" s="1"/>
      <c r="B156" s="1"/>
      <c r="C156" s="1"/>
      <c r="D156" s="1"/>
      <c r="E156" s="1"/>
      <c r="F156" s="1"/>
      <c r="G156" s="1"/>
    </row>
    <row r="157" spans="1:7" ht="15.75" customHeight="1">
      <c r="A157" s="1"/>
      <c r="B157" s="1"/>
      <c r="C157" s="1"/>
      <c r="D157" s="1"/>
      <c r="E157" s="1"/>
      <c r="F157" s="1"/>
      <c r="G157" s="1"/>
    </row>
    <row r="158" spans="1:7" ht="15.75" customHeight="1">
      <c r="A158" s="1"/>
      <c r="B158" s="1"/>
      <c r="C158" s="1"/>
      <c r="D158" s="1"/>
      <c r="E158" s="1"/>
      <c r="F158" s="1"/>
      <c r="G158" s="1"/>
    </row>
    <row r="159" spans="1:7" ht="15.75" customHeight="1">
      <c r="A159" s="1"/>
      <c r="B159" s="1"/>
      <c r="C159" s="1"/>
      <c r="D159" s="1"/>
      <c r="E159" s="1"/>
      <c r="F159" s="1"/>
      <c r="G159" s="1"/>
    </row>
    <row r="160" spans="1:7" ht="15.75" customHeight="1">
      <c r="A160" s="1"/>
      <c r="B160" s="1"/>
      <c r="C160" s="1"/>
      <c r="D160" s="1"/>
      <c r="E160" s="1"/>
      <c r="F160" s="1"/>
      <c r="G160" s="1"/>
    </row>
    <row r="161" spans="1:7" ht="15.75" customHeight="1">
      <c r="A161" s="1"/>
      <c r="B161" s="1"/>
      <c r="C161" s="1"/>
      <c r="D161" s="1"/>
      <c r="E161" s="1"/>
      <c r="F161" s="1"/>
      <c r="G161" s="1"/>
    </row>
    <row r="162" spans="1:7" ht="15.75" customHeight="1">
      <c r="A162" s="1"/>
      <c r="B162" s="1"/>
      <c r="C162" s="1"/>
      <c r="D162" s="1"/>
      <c r="E162" s="1"/>
      <c r="F162" s="1"/>
      <c r="G162" s="1"/>
    </row>
    <row r="163" spans="1:7" ht="15.75" customHeight="1">
      <c r="A163" s="1"/>
      <c r="B163" s="1"/>
      <c r="C163" s="1"/>
      <c r="D163" s="1"/>
      <c r="E163" s="1"/>
      <c r="F163" s="1"/>
      <c r="G163" s="1"/>
    </row>
    <row r="164" spans="1:7" ht="15.75" customHeight="1">
      <c r="A164" s="1"/>
      <c r="B164" s="1"/>
      <c r="C164" s="1"/>
      <c r="D164" s="1"/>
      <c r="E164" s="1"/>
      <c r="F164" s="1"/>
      <c r="G164" s="1"/>
    </row>
    <row r="165" spans="1:7" ht="15.75" customHeight="1">
      <c r="A165" s="1"/>
      <c r="B165" s="1"/>
      <c r="C165" s="1"/>
      <c r="D165" s="1"/>
      <c r="E165" s="1"/>
      <c r="F165" s="1"/>
      <c r="G165" s="1"/>
    </row>
    <row r="166" spans="1:7" ht="15.75" customHeight="1">
      <c r="A166" s="1"/>
      <c r="B166" s="1"/>
      <c r="C166" s="1"/>
      <c r="D166" s="1"/>
      <c r="E166" s="1"/>
      <c r="F166" s="1"/>
      <c r="G166" s="1"/>
    </row>
    <row r="167" spans="1:7" ht="15.75" customHeight="1">
      <c r="A167" s="1"/>
      <c r="B167" s="1"/>
      <c r="C167" s="1"/>
      <c r="D167" s="1"/>
      <c r="E167" s="1"/>
      <c r="F167" s="1"/>
      <c r="G167" s="1"/>
    </row>
    <row r="168" spans="1:7" ht="15.75" customHeight="1">
      <c r="A168" s="1"/>
      <c r="B168" s="1"/>
      <c r="C168" s="1"/>
      <c r="D168" s="1"/>
      <c r="E168" s="1"/>
      <c r="F168" s="1"/>
      <c r="G168" s="1"/>
    </row>
    <row r="169" spans="1:7" ht="15.75" customHeight="1">
      <c r="A169" s="1"/>
      <c r="B169" s="1"/>
      <c r="C169" s="1"/>
      <c r="D169" s="1"/>
      <c r="E169" s="1"/>
      <c r="F169" s="1"/>
      <c r="G169" s="1"/>
    </row>
    <row r="170" spans="1:7" ht="15.75" customHeight="1">
      <c r="A170" s="1"/>
      <c r="B170" s="1"/>
      <c r="C170" s="1"/>
      <c r="D170" s="1"/>
      <c r="E170" s="1"/>
      <c r="F170" s="1"/>
      <c r="G170" s="1"/>
    </row>
    <row r="171" spans="1:7" ht="15.75" customHeight="1">
      <c r="A171" s="1"/>
      <c r="B171" s="1"/>
      <c r="C171" s="1"/>
      <c r="D171" s="1"/>
      <c r="E171" s="1"/>
      <c r="F171" s="1"/>
      <c r="G171" s="1"/>
    </row>
    <row r="172" spans="1:7" ht="15.75" customHeight="1">
      <c r="A172" s="1"/>
      <c r="B172" s="1"/>
      <c r="C172" s="1"/>
      <c r="D172" s="1"/>
      <c r="E172" s="1"/>
      <c r="F172" s="1"/>
      <c r="G172" s="1"/>
    </row>
    <row r="173" spans="1:7" ht="15.75" customHeight="1">
      <c r="A173" s="1"/>
      <c r="B173" s="1"/>
      <c r="C173" s="1"/>
      <c r="D173" s="1"/>
      <c r="E173" s="1"/>
      <c r="F173" s="1"/>
      <c r="G173" s="1"/>
    </row>
    <row r="174" spans="1:7" ht="15.75" customHeight="1">
      <c r="A174" s="1"/>
      <c r="B174" s="1"/>
      <c r="C174" s="1"/>
      <c r="D174" s="1"/>
      <c r="E174" s="1"/>
      <c r="F174" s="1"/>
      <c r="G174" s="1"/>
    </row>
    <row r="175" spans="1:7" ht="15.75" customHeight="1">
      <c r="A175" s="1"/>
      <c r="B175" s="1"/>
      <c r="C175" s="1"/>
      <c r="D175" s="1"/>
      <c r="E175" s="1"/>
      <c r="F175" s="1"/>
      <c r="G175" s="1"/>
    </row>
    <row r="176" spans="1:7" ht="15.75" customHeight="1">
      <c r="A176" s="1"/>
      <c r="B176" s="1"/>
      <c r="C176" s="1"/>
      <c r="D176" s="1"/>
      <c r="E176" s="1"/>
      <c r="F176" s="1"/>
      <c r="G176" s="1"/>
    </row>
    <row r="177" spans="1:7" ht="15.75" customHeight="1">
      <c r="A177" s="1"/>
      <c r="B177" s="1"/>
      <c r="C177" s="1"/>
      <c r="D177" s="1"/>
      <c r="E177" s="1"/>
      <c r="F177" s="1"/>
      <c r="G177" s="1"/>
    </row>
    <row r="178" spans="1:7" ht="15.75" customHeight="1">
      <c r="A178" s="1"/>
      <c r="B178" s="1"/>
      <c r="C178" s="1"/>
      <c r="D178" s="1"/>
      <c r="E178" s="1"/>
      <c r="F178" s="1"/>
      <c r="G178" s="1"/>
    </row>
    <row r="179" spans="1:7" ht="15.75" customHeight="1">
      <c r="A179" s="1"/>
      <c r="B179" s="1"/>
      <c r="C179" s="1"/>
      <c r="D179" s="1"/>
      <c r="E179" s="1"/>
      <c r="F179" s="1"/>
      <c r="G179" s="1"/>
    </row>
    <row r="180" spans="1:7" ht="15.75" customHeight="1">
      <c r="A180" s="1"/>
      <c r="B180" s="1"/>
      <c r="C180" s="1"/>
      <c r="D180" s="1"/>
      <c r="E180" s="1"/>
      <c r="F180" s="1"/>
      <c r="G180" s="1"/>
    </row>
    <row r="181" spans="1:7" ht="15.75" customHeight="1">
      <c r="A181" s="1"/>
      <c r="B181" s="1"/>
      <c r="C181" s="1"/>
      <c r="D181" s="1"/>
      <c r="E181" s="1"/>
      <c r="F181" s="1"/>
      <c r="G181" s="1"/>
    </row>
    <row r="182" spans="1:7" ht="15.75" customHeight="1">
      <c r="A182" s="1"/>
      <c r="B182" s="1"/>
      <c r="C182" s="1"/>
      <c r="D182" s="1"/>
      <c r="E182" s="1"/>
      <c r="F182" s="1"/>
      <c r="G182" s="1"/>
    </row>
    <row r="183" spans="1:7" ht="15.75" customHeight="1">
      <c r="A183" s="1"/>
      <c r="B183" s="1"/>
      <c r="C183" s="1"/>
      <c r="D183" s="1"/>
      <c r="E183" s="1"/>
      <c r="F183" s="1"/>
      <c r="G183" s="1"/>
    </row>
    <row r="184" spans="1:7" ht="15.75" customHeight="1">
      <c r="A184" s="1"/>
      <c r="B184" s="1"/>
      <c r="C184" s="1"/>
      <c r="D184" s="1"/>
      <c r="E184" s="1"/>
      <c r="F184" s="1"/>
      <c r="G184" s="1"/>
    </row>
    <row r="185" spans="1:7" ht="15.75" customHeight="1">
      <c r="A185" s="1"/>
      <c r="B185" s="1"/>
      <c r="C185" s="1"/>
      <c r="D185" s="1"/>
      <c r="E185" s="1"/>
      <c r="F185" s="1"/>
      <c r="G185" s="1"/>
    </row>
    <row r="186" spans="1:7" ht="15.75" customHeight="1">
      <c r="A186" s="1"/>
      <c r="B186" s="1"/>
      <c r="C186" s="1"/>
      <c r="D186" s="1"/>
      <c r="E186" s="1"/>
      <c r="F186" s="1"/>
      <c r="G186" s="1"/>
    </row>
    <row r="187" spans="1:7" ht="15.75" customHeight="1">
      <c r="A187" s="1"/>
      <c r="B187" s="1"/>
      <c r="C187" s="1"/>
      <c r="D187" s="1"/>
      <c r="E187" s="1"/>
      <c r="F187" s="1"/>
      <c r="G187" s="1"/>
    </row>
    <row r="188" spans="1:7" ht="15.75" customHeight="1">
      <c r="A188" s="1"/>
      <c r="B188" s="1"/>
      <c r="C188" s="1"/>
      <c r="D188" s="1"/>
      <c r="E188" s="1"/>
      <c r="F188" s="1"/>
      <c r="G188" s="1"/>
    </row>
    <row r="189" spans="1:7" ht="15.75" customHeight="1">
      <c r="A189" s="1"/>
      <c r="B189" s="1"/>
      <c r="C189" s="1"/>
      <c r="D189" s="1"/>
      <c r="E189" s="1"/>
      <c r="F189" s="1"/>
      <c r="G189" s="1"/>
    </row>
    <row r="190" spans="1:7" ht="15.75" customHeight="1">
      <c r="A190" s="1"/>
      <c r="B190" s="1"/>
      <c r="C190" s="1"/>
      <c r="D190" s="1"/>
      <c r="E190" s="1"/>
      <c r="F190" s="1"/>
      <c r="G190" s="1"/>
    </row>
    <row r="191" spans="1:7" ht="15.75" customHeight="1">
      <c r="A191" s="1"/>
      <c r="B191" s="1"/>
      <c r="C191" s="1"/>
      <c r="D191" s="1"/>
      <c r="E191" s="1"/>
      <c r="F191" s="1"/>
      <c r="G191" s="1"/>
    </row>
    <row r="192" spans="1:7" ht="15.75" customHeight="1">
      <c r="A192" s="1"/>
      <c r="B192" s="1"/>
      <c r="C192" s="1"/>
      <c r="D192" s="1"/>
      <c r="E192" s="1"/>
      <c r="F192" s="1"/>
      <c r="G192" s="1"/>
    </row>
    <row r="193" spans="1:7" ht="15.75" customHeight="1">
      <c r="A193" s="1"/>
      <c r="B193" s="1"/>
      <c r="C193" s="1"/>
      <c r="D193" s="1"/>
      <c r="E193" s="1"/>
      <c r="F193" s="1"/>
      <c r="G193" s="1"/>
    </row>
    <row r="194" spans="1:7" ht="15.75" customHeight="1">
      <c r="A194" s="1"/>
      <c r="B194" s="1"/>
      <c r="C194" s="1"/>
      <c r="D194" s="1"/>
      <c r="E194" s="1"/>
      <c r="F194" s="1"/>
      <c r="G194" s="1"/>
    </row>
    <row r="195" spans="1:7" ht="15.75" customHeight="1">
      <c r="A195" s="1"/>
      <c r="B195" s="1"/>
      <c r="C195" s="1"/>
      <c r="D195" s="1"/>
      <c r="E195" s="1"/>
      <c r="F195" s="1"/>
      <c r="G195" s="1"/>
    </row>
    <row r="196" spans="1:7" ht="15.75" customHeight="1">
      <c r="A196" s="1"/>
      <c r="B196" s="1"/>
      <c r="C196" s="1"/>
      <c r="D196" s="1"/>
      <c r="E196" s="1"/>
      <c r="F196" s="1"/>
      <c r="G196" s="1"/>
    </row>
    <row r="197" spans="1:7" ht="15.75" customHeight="1">
      <c r="A197" s="1"/>
      <c r="B197" s="1"/>
      <c r="C197" s="1"/>
      <c r="D197" s="1"/>
      <c r="E197" s="1"/>
      <c r="F197" s="1"/>
      <c r="G197" s="1"/>
    </row>
    <row r="198" spans="1:7" ht="15.75" customHeight="1">
      <c r="A198" s="1"/>
      <c r="B198" s="1"/>
      <c r="C198" s="1"/>
      <c r="D198" s="1"/>
      <c r="E198" s="1"/>
      <c r="F198" s="1"/>
      <c r="G198" s="1"/>
    </row>
    <row r="199" spans="1:7" ht="15.75" customHeight="1">
      <c r="A199" s="1"/>
      <c r="B199" s="1"/>
      <c r="C199" s="1"/>
      <c r="D199" s="1"/>
      <c r="E199" s="1"/>
      <c r="F199" s="1"/>
      <c r="G199" s="1"/>
    </row>
    <row r="200" spans="1:7" ht="15.75" customHeight="1">
      <c r="A200" s="1"/>
      <c r="B200" s="1"/>
      <c r="C200" s="1"/>
      <c r="D200" s="1"/>
      <c r="E200" s="1"/>
      <c r="F200" s="1"/>
      <c r="G200" s="1"/>
    </row>
    <row r="201" spans="1:7" ht="15.75" customHeight="1">
      <c r="A201" s="1"/>
      <c r="B201" s="1"/>
      <c r="C201" s="1"/>
      <c r="D201" s="1"/>
      <c r="E201" s="1"/>
      <c r="F201" s="1"/>
      <c r="G201" s="1"/>
    </row>
    <row r="202" spans="1:7" ht="15.75" customHeight="1">
      <c r="A202" s="1"/>
      <c r="B202" s="1"/>
      <c r="C202" s="1"/>
      <c r="D202" s="1"/>
      <c r="E202" s="1"/>
      <c r="F202" s="1"/>
      <c r="G202" s="1"/>
    </row>
    <row r="203" spans="1:7" ht="15.75" customHeight="1">
      <c r="A203" s="1"/>
      <c r="B203" s="1"/>
      <c r="C203" s="1"/>
      <c r="D203" s="1"/>
      <c r="E203" s="1"/>
      <c r="F203" s="1"/>
      <c r="G203" s="1"/>
    </row>
    <row r="204" spans="1:7" ht="15.75" customHeight="1">
      <c r="A204" s="1"/>
      <c r="B204" s="1"/>
      <c r="C204" s="1"/>
      <c r="D204" s="1"/>
      <c r="E204" s="1"/>
      <c r="F204" s="1"/>
      <c r="G204" s="1"/>
    </row>
    <row r="205" spans="1:7" ht="15.75" customHeight="1">
      <c r="A205" s="1"/>
      <c r="B205" s="1"/>
      <c r="C205" s="1"/>
      <c r="D205" s="1"/>
      <c r="E205" s="1"/>
      <c r="F205" s="1"/>
      <c r="G205" s="1"/>
    </row>
    <row r="206" spans="1:7" ht="15.75" customHeight="1">
      <c r="A206" s="1"/>
      <c r="B206" s="1"/>
      <c r="C206" s="1"/>
      <c r="D206" s="1"/>
      <c r="E206" s="1"/>
      <c r="F206" s="1"/>
      <c r="G206" s="1"/>
    </row>
    <row r="207" spans="1:7" ht="15.75" customHeight="1">
      <c r="A207" s="1"/>
      <c r="B207" s="1"/>
      <c r="C207" s="1"/>
      <c r="D207" s="1"/>
      <c r="E207" s="1"/>
      <c r="F207" s="1"/>
      <c r="G207" s="1"/>
    </row>
    <row r="208" spans="1:7" ht="15.75" customHeight="1">
      <c r="A208" s="1"/>
      <c r="B208" s="1"/>
      <c r="C208" s="1"/>
      <c r="D208" s="1"/>
      <c r="E208" s="1"/>
      <c r="F208" s="1"/>
      <c r="G208" s="1"/>
    </row>
    <row r="209" spans="1:7" ht="15.75" customHeight="1">
      <c r="A209" s="1"/>
      <c r="B209" s="1"/>
      <c r="C209" s="1"/>
      <c r="D209" s="1"/>
      <c r="E209" s="1"/>
      <c r="F209" s="1"/>
      <c r="G209" s="1"/>
    </row>
    <row r="210" spans="1:7" ht="15.75" customHeight="1">
      <c r="A210" s="1"/>
      <c r="B210" s="1"/>
      <c r="C210" s="1"/>
      <c r="D210" s="1"/>
      <c r="E210" s="1"/>
      <c r="F210" s="1"/>
      <c r="G210" s="1"/>
    </row>
    <row r="211" spans="1:7" ht="15.75" customHeight="1">
      <c r="A211" s="1"/>
      <c r="B211" s="1"/>
      <c r="C211" s="1"/>
      <c r="D211" s="1"/>
      <c r="E211" s="1"/>
      <c r="F211" s="1"/>
      <c r="G211" s="1"/>
    </row>
    <row r="212" spans="1:7" ht="15.75" customHeight="1">
      <c r="A212" s="1"/>
      <c r="B212" s="1"/>
      <c r="C212" s="1"/>
      <c r="D212" s="1"/>
      <c r="E212" s="1"/>
      <c r="F212" s="1"/>
      <c r="G212" s="1"/>
    </row>
    <row r="213" spans="1:7" ht="15.75" customHeight="1">
      <c r="A213" s="1"/>
      <c r="B213" s="1"/>
      <c r="C213" s="1"/>
      <c r="D213" s="1"/>
      <c r="E213" s="1"/>
      <c r="F213" s="1"/>
      <c r="G213" s="1"/>
    </row>
    <row r="214" spans="1:7" ht="15.75" customHeight="1">
      <c r="A214" s="1"/>
      <c r="B214" s="1"/>
      <c r="C214" s="1"/>
      <c r="D214" s="1"/>
      <c r="E214" s="1"/>
      <c r="F214" s="1"/>
      <c r="G214" s="1"/>
    </row>
    <row r="215" spans="1:7" ht="15.75" customHeight="1">
      <c r="A215" s="1"/>
      <c r="B215" s="1"/>
      <c r="C215" s="1"/>
      <c r="D215" s="1"/>
      <c r="E215" s="1"/>
      <c r="F215" s="1"/>
      <c r="G215" s="1"/>
    </row>
    <row r="216" spans="1:7" ht="15.75" customHeight="1">
      <c r="A216" s="1"/>
      <c r="B216" s="1"/>
      <c r="C216" s="1"/>
      <c r="D216" s="1"/>
      <c r="E216" s="1"/>
      <c r="F216" s="1"/>
      <c r="G216" s="1"/>
    </row>
    <row r="217" spans="1:7" ht="15.75" customHeight="1">
      <c r="A217" s="1"/>
      <c r="B217" s="1"/>
      <c r="C217" s="1"/>
      <c r="D217" s="1"/>
      <c r="E217" s="1"/>
      <c r="F217" s="1"/>
      <c r="G217" s="1"/>
    </row>
    <row r="218" spans="1:7" ht="15.75" customHeight="1">
      <c r="A218" s="1"/>
      <c r="B218" s="1"/>
      <c r="C218" s="1"/>
      <c r="D218" s="1"/>
      <c r="E218" s="1"/>
      <c r="F218" s="1"/>
      <c r="G218" s="1"/>
    </row>
    <row r="219" spans="1:7" ht="15.75" customHeight="1">
      <c r="A219" s="1"/>
      <c r="B219" s="1"/>
      <c r="C219" s="1"/>
      <c r="D219" s="1"/>
      <c r="E219" s="1"/>
      <c r="F219" s="1"/>
      <c r="G219" s="1"/>
    </row>
    <row r="220" spans="1:7" ht="15.75" customHeight="1">
      <c r="A220" s="1"/>
      <c r="B220" s="1"/>
      <c r="C220" s="1"/>
      <c r="D220" s="1"/>
      <c r="E220" s="1"/>
      <c r="F220" s="1"/>
      <c r="G220" s="1"/>
    </row>
    <row r="221" spans="1:7" ht="15.75" customHeight="1">
      <c r="A221" s="1"/>
      <c r="B221" s="1"/>
      <c r="C221" s="1"/>
      <c r="D221" s="1"/>
      <c r="E221" s="1"/>
      <c r="F221" s="1"/>
      <c r="G221" s="1"/>
    </row>
    <row r="222" spans="1:7" ht="15.75" customHeight="1">
      <c r="A222" s="1"/>
      <c r="B222" s="1"/>
      <c r="C222" s="1"/>
      <c r="D222" s="1"/>
      <c r="E222" s="1"/>
      <c r="F222" s="1"/>
      <c r="G222" s="1"/>
    </row>
    <row r="223" spans="1:7" ht="15.75" customHeight="1">
      <c r="A223" s="1"/>
      <c r="B223" s="1"/>
      <c r="C223" s="1"/>
      <c r="D223" s="1"/>
      <c r="E223" s="1"/>
      <c r="F223" s="1"/>
      <c r="G223" s="1"/>
    </row>
    <row r="224" spans="1:7" ht="15.75" customHeight="1">
      <c r="A224" s="1"/>
      <c r="B224" s="1"/>
      <c r="C224" s="1"/>
      <c r="D224" s="1"/>
      <c r="E224" s="1"/>
      <c r="F224" s="1"/>
      <c r="G224" s="1"/>
    </row>
    <row r="225" spans="1:7" ht="15.75" customHeight="1">
      <c r="A225" s="1"/>
      <c r="B225" s="1"/>
      <c r="C225" s="1"/>
      <c r="D225" s="1"/>
      <c r="E225" s="1"/>
      <c r="F225" s="1"/>
      <c r="G225" s="1"/>
    </row>
    <row r="226" spans="1:7" ht="15.75" customHeight="1">
      <c r="A226" s="1"/>
      <c r="B226" s="1"/>
      <c r="C226" s="1"/>
      <c r="D226" s="1"/>
      <c r="E226" s="1"/>
      <c r="F226" s="1"/>
      <c r="G226" s="1"/>
    </row>
    <row r="227" spans="1:7" ht="15.75" customHeight="1">
      <c r="A227" s="1"/>
      <c r="B227" s="1"/>
      <c r="C227" s="1"/>
      <c r="D227" s="1"/>
      <c r="E227" s="1"/>
      <c r="F227" s="1"/>
      <c r="G227" s="1"/>
    </row>
    <row r="228" spans="1:7" ht="15.75" customHeight="1">
      <c r="A228" s="1"/>
      <c r="B228" s="1"/>
      <c r="C228" s="1"/>
      <c r="D228" s="1"/>
      <c r="E228" s="1"/>
      <c r="F228" s="1"/>
      <c r="G228" s="1"/>
    </row>
    <row r="229" spans="1:7" ht="15.75" customHeight="1">
      <c r="A229" s="1"/>
      <c r="B229" s="1"/>
      <c r="C229" s="1"/>
      <c r="D229" s="1"/>
      <c r="E229" s="1"/>
      <c r="F229" s="1"/>
      <c r="G229" s="1"/>
    </row>
    <row r="230" spans="1:7" ht="15.75" customHeight="1">
      <c r="A230" s="1"/>
      <c r="B230" s="1"/>
      <c r="C230" s="1"/>
      <c r="D230" s="1"/>
      <c r="E230" s="1"/>
      <c r="F230" s="1"/>
      <c r="G230" s="1"/>
    </row>
    <row r="231" spans="1:7" ht="15.75" customHeight="1">
      <c r="A231" s="1"/>
      <c r="B231" s="1"/>
      <c r="C231" s="1"/>
      <c r="D231" s="1"/>
      <c r="E231" s="1"/>
      <c r="F231" s="1"/>
      <c r="G231" s="1"/>
    </row>
    <row r="232" spans="1:7" ht="15.75" customHeight="1">
      <c r="A232" s="1"/>
      <c r="B232" s="1"/>
      <c r="C232" s="1"/>
      <c r="D232" s="1"/>
      <c r="E232" s="1"/>
      <c r="F232" s="1"/>
      <c r="G232" s="1"/>
    </row>
    <row r="233" spans="1:7" ht="15.75" customHeight="1">
      <c r="A233" s="1"/>
      <c r="B233" s="1"/>
      <c r="C233" s="1"/>
      <c r="D233" s="1"/>
      <c r="E233" s="1"/>
      <c r="F233" s="1"/>
      <c r="G233" s="1"/>
    </row>
    <row r="234" spans="1:7" ht="15.75" customHeight="1">
      <c r="A234" s="1"/>
      <c r="B234" s="1"/>
      <c r="C234" s="1"/>
      <c r="D234" s="1"/>
      <c r="E234" s="1"/>
      <c r="F234" s="1"/>
      <c r="G234" s="1"/>
    </row>
    <row r="235" spans="1:7" ht="15.75" customHeight="1"/>
    <row r="236" spans="1:7" ht="15.75" customHeight="1"/>
    <row r="237" spans="1:7" ht="15.75" customHeight="1"/>
    <row r="238" spans="1:7" ht="15.75" customHeight="1"/>
    <row r="239" spans="1:7" ht="15.75" customHeight="1"/>
    <row r="240" spans="1:7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F1"/>
    <mergeCell ref="B2:F2"/>
    <mergeCell ref="B5:F5"/>
    <mergeCell ref="B15:F15"/>
    <mergeCell ref="B21:F21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📖 Process Guide</vt:lpstr>
      <vt:lpstr>📋 Dashboard</vt:lpstr>
      <vt:lpstr>📊 Takeoff &amp; Quote</vt:lpstr>
      <vt:lpstr>📄 Customer Quote</vt:lpstr>
      <vt:lpstr>🧾 Material Log</vt:lpstr>
      <vt:lpstr>⏱️ Labour &amp; Machine Log</vt:lpstr>
      <vt:lpstr>🔄 Reconcile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Vargo</dc:creator>
  <cp:lastModifiedBy>Will Vargo</cp:lastModifiedBy>
  <dcterms:created xsi:type="dcterms:W3CDTF">2026-04-08T19:09:43Z</dcterms:created>
  <dcterms:modified xsi:type="dcterms:W3CDTF">2026-04-08T19:09:43Z</dcterms:modified>
</cp:coreProperties>
</file>